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ni\Documents\github\house-tracker\"/>
    </mc:Choice>
  </mc:AlternateContent>
  <xr:revisionPtr revIDLastSave="0" documentId="13_ncr:1_{FE59BF99-5B67-420E-BF59-5F91175E37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perties" sheetId="2" r:id="rId1"/>
    <sheet name="Sheet1" sheetId="1" r:id="rId2"/>
  </sheets>
  <definedNames>
    <definedName name="ExternalData_1" localSheetId="0" hidden="1">properties!$A$1:$W$481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024E8-06D2-42A0-B630-1CC0A6D74C08}" keepAlive="1" name="Query - properties" description="Connection to the 'properties' query in the workbook." type="5" refreshedVersion="8" background="1" saveData="1">
    <dbPr connection="Provider=Microsoft.Mashup.OleDb.1;Data Source=$Workbook$;Location=properties;Extended Properties=&quot;&quot;" command="SELECT * FROM [properti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<sst xmlns="http://schemas.openxmlformats.org/spreadsheetml/2006/main" count="5305" uniqueCount="1703">
  <si>
    <t>addedDate</t>
  </si>
  <si>
    <t>address</t>
  </si>
  <si>
    <t>agent</t>
  </si>
  <si>
    <t>archivedDate</t>
  </si>
  <si>
    <t>city</t>
  </si>
  <si>
    <t>floors</t>
  </si>
  <si>
    <t>id</t>
  </si>
  <si>
    <t>img</t>
  </si>
  <si>
    <t>insideM2</t>
  </si>
  <si>
    <t>landM2</t>
  </si>
  <si>
    <t>latestOffer</t>
  </si>
  <si>
    <t>previousPrices</t>
  </si>
  <si>
    <t>price</t>
  </si>
  <si>
    <t>rooms</t>
  </si>
  <si>
    <t>status</t>
  </si>
  <si>
    <t>type</t>
  </si>
  <si>
    <t>validDate</t>
  </si>
  <si>
    <t>website</t>
  </si>
  <si>
    <t>yearBuilt</t>
  </si>
  <si>
    <t>offerM2In</t>
  </si>
  <si>
    <t>offerM2Out</t>
  </si>
  <si>
    <t>priceM2In</t>
  </si>
  <si>
    <t>priceM2Out</t>
  </si>
  <si>
    <t>Eystanvegur 3 210 Sandur</t>
  </si>
  <si>
    <t>Betri</t>
  </si>
  <si>
    <t>Sandur</t>
  </si>
  <si>
    <t>eystanvegur3210sandur</t>
  </si>
  <si>
    <t>https://betriheim.cdn.fo/savn/12clqc0p/2.jpg?width=400&amp;height=233&amp;rmode=max&amp;quality=50&amp;t=17034966&amp;s=fesOdaC0_rf7Ef1qSOYDleSDKBM</t>
  </si>
  <si>
    <t>[List]</t>
  </si>
  <si>
    <t>active</t>
  </si>
  <si>
    <t>Sethus</t>
  </si>
  <si>
    <t>Galdandi til 07-04-2025, kl 16:00</t>
  </si>
  <si>
    <t>Bygd Uml. 1996</t>
  </si>
  <si>
    <t>Mýrigøta 3 100 Tórshavn</t>
  </si>
  <si>
    <t>Tórshavn</t>
  </si>
  <si>
    <t>mrigta3100trshavn</t>
  </si>
  <si>
    <t>https://betriheim.cdn.fo/savn/tdxkdmlv/a-10.jpg?width=400&amp;height=233&amp;rmode=max&amp;quality=50&amp;t=185&amp;s=GmBRtxpx1rz5VclUeFFNU4le87Q</t>
  </si>
  <si>
    <t>Galdandi til 07-04-2025, kl 12:00</t>
  </si>
  <si>
    <t>Bygd 1954</t>
  </si>
  <si>
    <t>Toftanes 30 520 Leirvík</t>
  </si>
  <si>
    <t>Leirvík</t>
  </si>
  <si>
    <t>toftanes30520leirvk</t>
  </si>
  <si>
    <t>https://betriheim.cdn.fo/savn/5r5bajme/1.jpg?width=400&amp;height=233&amp;rmode=max&amp;quality=50&amp;t=73&amp;s=SPgVYfgWIoOMe_jU7o_amDMj8Lo</t>
  </si>
  <si>
    <t/>
  </si>
  <si>
    <t>Bygd 1958</t>
  </si>
  <si>
    <t>Argjavegur 18 160 Argir</t>
  </si>
  <si>
    <t>Argir</t>
  </si>
  <si>
    <t>argjavegur18160argir</t>
  </si>
  <si>
    <t>https://betriheim.cdn.fo/savn/o01ba230/1.jpg?width=400&amp;height=233&amp;rmode=max&amp;quality=50&amp;t=42&amp;s=eJt9caHy47G9G0AH7ro2QrOJrzI</t>
  </si>
  <si>
    <t>Galdandi til 04-04-2025, kl 16:00</t>
  </si>
  <si>
    <t>Bygd 1932</t>
  </si>
  <si>
    <t>Bakkavegur 151 350 Vestmanna</t>
  </si>
  <si>
    <t>Vestmanna</t>
  </si>
  <si>
    <t>bakkavegur151350vestmanna</t>
  </si>
  <si>
    <t>https://betriheim.cdn.fo/savn/q00fqxku/1.jpg?width=400&amp;height=233&amp;rmode=max&amp;quality=50&amp;t=78&amp;s=KJYXHZN32W68JcwMwFQhZBu6DTk</t>
  </si>
  <si>
    <t>Neyst</t>
  </si>
  <si>
    <t>Bygd 1989</t>
  </si>
  <si>
    <t>Heiðaravegur 11 220 Skálavík</t>
  </si>
  <si>
    <t>Skálavík</t>
  </si>
  <si>
    <t>heiaravegur11220sklavk</t>
  </si>
  <si>
    <t>https://betriheim.cdn.fo/savn/melbfgwy/1.jpg?width=400&amp;height=233&amp;rmode=max&amp;quality=50&amp;t=113&amp;s=P4F8FVur-spvaFtCqH02Kz_E7-4</t>
  </si>
  <si>
    <t>Bygd 1968</t>
  </si>
  <si>
    <t>Skálavegur 185 480 Skála</t>
  </si>
  <si>
    <t>Skála</t>
  </si>
  <si>
    <t>sklavegur185480skla</t>
  </si>
  <si>
    <t>https://betriheim.cdn.fo/savn/n2tfh1eb/a-1.jpg?width=400&amp;height=233&amp;rmode=max&amp;quality=50&amp;t=42&amp;s=JG_Cgk2jZdy8OevPKHTKKE7PKsI</t>
  </si>
  <si>
    <t>Bygd 1928</t>
  </si>
  <si>
    <t>Tartarlág 6 690 Oyndarfjørður</t>
  </si>
  <si>
    <t>Oyndarfjørður</t>
  </si>
  <si>
    <t>tartarlg6690oyndarfjrur</t>
  </si>
  <si>
    <t>https://betriheim.cdn.fo/savn/z00aevk0/1.jpg?width=400&amp;height=233&amp;rmode=max&amp;quality=50&amp;t=201&amp;s=Qa0EcGca3Wla0KqlFg-Vd9Q62Vg</t>
  </si>
  <si>
    <t>Bygd 1999</t>
  </si>
  <si>
    <t>Kongagøta 7,0 vm 100 Tórshavn</t>
  </si>
  <si>
    <t>kongagta70vm100trshavn</t>
  </si>
  <si>
    <t>https://betriheim.cdn.fo/savn/023feaia/d-3.jpg?width=400&amp;height=233&amp;rmode=max&amp;quality=50&amp;t=14923284&amp;s=Mm371qDeoXHqF5vhM7dw9y361n0</t>
  </si>
  <si>
    <t>Ibud</t>
  </si>
  <si>
    <t>Søldarfjarðarvegur 32 660 Søldarfjørður</t>
  </si>
  <si>
    <t>Søldarfjørður</t>
  </si>
  <si>
    <t>sldarfjararvegur32660sldarfjrur</t>
  </si>
  <si>
    <t>https://betriheim.cdn.fo/savn/lreblphh/1.jpg?width=400&amp;height=233&amp;rmode=max&amp;quality=50&amp;t=87&amp;s=S-igOOxR3JxgOd_l3W7_f-2arQ0</t>
  </si>
  <si>
    <t>Bygd 1978</t>
  </si>
  <si>
    <t>Hoygarðsvegur 6 370 Miðvágur</t>
  </si>
  <si>
    <t>Miðvágur</t>
  </si>
  <si>
    <t>hoygarsvegur6370mivgur</t>
  </si>
  <si>
    <t>https://betriheim.cdn.fo/savn/kjohxpnn/1.jpg?width=400&amp;height=233&amp;rmode=max&amp;quality=50&amp;t=33&amp;s=VuN9fh4fqat8uk0ASzzyhR7fORk</t>
  </si>
  <si>
    <t>Lynggøta 8 100 Tórshavn</t>
  </si>
  <si>
    <t>lynggta8100trshavn</t>
  </si>
  <si>
    <t>https://betriheim.cdn.fo/savn/ecsliteg/a-1.jpg?width=400&amp;height=233&amp;rmode=max&amp;quality=50&amp;t=52&amp;s=sMSTQOd4Z8M6Mr6n6jiulrKqtsw</t>
  </si>
  <si>
    <t>Bygd 1966</t>
  </si>
  <si>
    <t>Undir Nesinum 10 650 Toftir</t>
  </si>
  <si>
    <t>Toftir</t>
  </si>
  <si>
    <t>undirnesinum10650toftir</t>
  </si>
  <si>
    <t>https://betriheim.cdn.fo/savn/bw3ecp45/1.jpg?width=400&amp;height=233&amp;rmode=max&amp;quality=50&amp;t=57&amp;s=mPhja9AA-ah62bP1SNyraNXDhY0</t>
  </si>
  <si>
    <t>Bygd 2001</t>
  </si>
  <si>
    <t>Undir Skorum matr nr 27a 825 Froðba</t>
  </si>
  <si>
    <t>Froðba</t>
  </si>
  <si>
    <t>undirskorummatrnr27a825froba</t>
  </si>
  <si>
    <t>https://betriheim.cdn.fo/savn/tzljrs43/1.jpg?width=400&amp;height=233&amp;rmode=max&amp;quality=50&amp;s=ZgDxsHaYGW1ZLwH4I8ryxvmZbEA</t>
  </si>
  <si>
    <t>Grundstykki</t>
  </si>
  <si>
    <t>Bøgøta 8 970 Sumba</t>
  </si>
  <si>
    <t>Sumba</t>
  </si>
  <si>
    <t>bgta8970sumba</t>
  </si>
  <si>
    <t>https://betriheim.cdn.fo/savn/hb4lwkca/0.jpg?width=400&amp;height=233&amp;rmode=max&amp;quality=50&amp;t=46&amp;s=UNwjsUJg6uPJRhDfQHMb0rIByQY</t>
  </si>
  <si>
    <t>archived</t>
  </si>
  <si>
    <t>Bygd 1936</t>
  </si>
  <si>
    <t>Bókbindaragøta 38 100 Tórshavn</t>
  </si>
  <si>
    <t>bkbindaragta38100trshavn</t>
  </si>
  <si>
    <t>https://betriheim.cdn.fo/savn/rz1hkayz/1.jpg?width=400&amp;height=233&amp;rmode=max&amp;quality=50&amp;t=244&amp;s=fwaKlysDzNTILD1EkatBvoalD9s</t>
  </si>
  <si>
    <t>Radhus</t>
  </si>
  <si>
    <t>Bygd 1971</t>
  </si>
  <si>
    <t>Lokkargarðsvegur 5 970 Sumba</t>
  </si>
  <si>
    <t>lokkargarsvegur5970sumba</t>
  </si>
  <si>
    <t>https://betriheim.cdn.fo/savn/oylbrw1w/a-1.jpg?width=400&amp;height=233&amp;rmode=max&amp;quality=50&amp;t=58&amp;s=tF5vd8Ne-JlmZs280R4EIPhL23k</t>
  </si>
  <si>
    <t>Bygd 1950</t>
  </si>
  <si>
    <t>Raðhús í Brekkugerði 21 420 Hósvík</t>
  </si>
  <si>
    <t>Hósvík</t>
  </si>
  <si>
    <t>rahsbrekkugeri21420hsvk</t>
  </si>
  <si>
    <t>https://betriheim.cdn.fo/savn/tb0fdt1v/02.jpg?width=400&amp;height=233&amp;rmode=max&amp;quality=50&amp;t=5184688&amp;s=MrCzL4GB7m2pSmrKTn9Dj5GoWYg</t>
  </si>
  <si>
    <t>Bygd 2024</t>
  </si>
  <si>
    <t>undir Kongavarða 27, 4 vm</t>
  </si>
  <si>
    <t>Meklarin</t>
  </si>
  <si>
    <t>undirkongavara274vmargirstreymoysuur</t>
  </si>
  <si>
    <t>https://www.meklarin.fo/wp-content/uploads/2025/04/01-800x450.jpg</t>
  </si>
  <si>
    <t>Undefined</t>
  </si>
  <si>
    <t>https://www.meklarin.fo/</t>
  </si>
  <si>
    <t xml:space="preserve"> 7. apr. kl. 14:00</t>
  </si>
  <si>
    <t>Niðari Vegur 63</t>
  </si>
  <si>
    <t>niarivegur63vestmannastreymoynor</t>
  </si>
  <si>
    <t>https://www.meklarin.fo/wp-content/uploads/2025/04/a01-1-800x450.jpg</t>
  </si>
  <si>
    <t>Summarhus</t>
  </si>
  <si>
    <t xml:space="preserve"> 8. apr. kl. 15:00</t>
  </si>
  <si>
    <t>Marknagilsvegur 50</t>
  </si>
  <si>
    <t>marknagilsvegur50trshavnstreymoysuur</t>
  </si>
  <si>
    <t>https://www.meklarin.fo/wp-content/uploads/2025/03/01-4-800x533.jpg</t>
  </si>
  <si>
    <t>07/04 kl. 13:00</t>
  </si>
  <si>
    <t>14. mar. kl. 14:00</t>
  </si>
  <si>
    <t>Jóan Karls gøta 11</t>
  </si>
  <si>
    <t>jankarlsgta11trshavnstreymoysuur</t>
  </si>
  <si>
    <t>https://www.meklarin.fo/wp-content/uploads/2025/03/a01-2-800x450.jpg</t>
  </si>
  <si>
    <t>26. mar. kl. 15:00</t>
  </si>
  <si>
    <t>Liljuteigur 12</t>
  </si>
  <si>
    <t>Sandavágur</t>
  </si>
  <si>
    <t>liljuteigur12sandavgurvgar</t>
  </si>
  <si>
    <t>https://www.meklarin.fo/wp-content/uploads/2025/03/01-6-800x533.jpg</t>
  </si>
  <si>
    <t>21. mar. kl. 15:00</t>
  </si>
  <si>
    <t>við Todnestanga / á Miðgerði</t>
  </si>
  <si>
    <t>Kollafjørður</t>
  </si>
  <si>
    <t>vitodnestangamigerikollafjrurstreymoynor</t>
  </si>
  <si>
    <t>https://www.meklarin.fo/wp-content/uploads/2025/03/a01-1-800x450.jpg</t>
  </si>
  <si>
    <t>Lýðarsvegur 42</t>
  </si>
  <si>
    <t>larsvegur42toftireysturoy</t>
  </si>
  <si>
    <t>https://www.meklarin.fo/wp-content/uploads/2025/03/a01-3-800x450.jpg</t>
  </si>
  <si>
    <t>Toftavegur 2</t>
  </si>
  <si>
    <t>toftavegur2vestmannastreymoynor</t>
  </si>
  <si>
    <t>https://www.meklarin.fo/wp-content/uploads/2024/10/05-2-800x533.jpg</t>
  </si>
  <si>
    <t>16. okt. kl. 14:00</t>
  </si>
  <si>
    <t>Stoffalág 35</t>
  </si>
  <si>
    <t>stoffalg35trshavnstreymoysuur</t>
  </si>
  <si>
    <t>https://www.meklarin.fo/wp-content/uploads/2025/03/01-2-800x450.jpg</t>
  </si>
  <si>
    <t>Norðurhædd 1</t>
  </si>
  <si>
    <t>Saltangará</t>
  </si>
  <si>
    <t>norurhdd1saltangareysturoy</t>
  </si>
  <si>
    <t>https://www.meklarin.fo/wp-content/uploads/2025/03/01-3-800x533.jpg</t>
  </si>
  <si>
    <t>12. mar. kl. 15:00</t>
  </si>
  <si>
    <t>Lyngvegur 7</t>
  </si>
  <si>
    <t>Norðskáli</t>
  </si>
  <si>
    <t>lyngvegur7norsklistreymoysuur</t>
  </si>
  <si>
    <t>https://www.meklarin.fo/wp-content/uploads/2025/03/01-1-800x533.jpg</t>
  </si>
  <si>
    <t>Smæruteigur 7</t>
  </si>
  <si>
    <t>smruteigur7sandavgurvgar</t>
  </si>
  <si>
    <t>https://www.meklarin.fo/wp-content/uploads/2025/02/01-5-800x450.jpg</t>
  </si>
  <si>
    <t>Brekkugøta 6</t>
  </si>
  <si>
    <t>brekkugta6trshavnstreymoysuur</t>
  </si>
  <si>
    <t>https://www.meklarin.fo/wp-content/uploads/2025/02/01-4-800x533.jpg</t>
  </si>
  <si>
    <t xml:space="preserve"> 3. mar. kl. 15:00</t>
  </si>
  <si>
    <t>Í Pálsliða 4B</t>
  </si>
  <si>
    <t>Norðragøta</t>
  </si>
  <si>
    <t>plslia4bnorragtaeysturoy</t>
  </si>
  <si>
    <t>https://www.meklarin.fo/wp-content/uploads/2025/01/01-800x534.jpg</t>
  </si>
  <si>
    <t>Inni í Firði 157</t>
  </si>
  <si>
    <t>innifiri157kollafjrurstreymoynor</t>
  </si>
  <si>
    <t>https://www.meklarin.fo/wp-content/uploads/2025/02/a01-800x450.jpg</t>
  </si>
  <si>
    <t>Leitisvegur 70</t>
  </si>
  <si>
    <t>leitisvegur70mivgurvgar</t>
  </si>
  <si>
    <t>https://www.meklarin.fo/wp-content/uploads/2023/10/IMG_0429-800x450.jpg</t>
  </si>
  <si>
    <t>Vinnubygningur</t>
  </si>
  <si>
    <t>Líðartún 10A, Ørðavíkarlíð</t>
  </si>
  <si>
    <t>Ørðavík</t>
  </si>
  <si>
    <t>lartn10aravkarlravksuuroy</t>
  </si>
  <si>
    <t>https://www.meklarin.fo/wp-content/uploads/2022/06/a01_oravik-800x450.jpeg</t>
  </si>
  <si>
    <t xml:space="preserve">Jarðarstykki - 402d </t>
  </si>
  <si>
    <t>Kvívík</t>
  </si>
  <si>
    <t>jararstykki402dkvvkstreymoynor</t>
  </si>
  <si>
    <t>https://www.meklarin.fo/wp-content/uploads/2024/11/mynd-3-800x542.png</t>
  </si>
  <si>
    <t>Jord</t>
  </si>
  <si>
    <t>Grundstykki - matr.nr. 88e</t>
  </si>
  <si>
    <t>Trongisvágur</t>
  </si>
  <si>
    <t>grundstykkimatrnr88etrongisvgursuuroy</t>
  </si>
  <si>
    <t>https://www.meklarin.fo/wp-content/uploads/2023/05/01-1-800x600.jpg</t>
  </si>
  <si>
    <t>Bryggjan 6</t>
  </si>
  <si>
    <t>Vágur</t>
  </si>
  <si>
    <t>bryggjan6vgursuuroy</t>
  </si>
  <si>
    <t>https://www.meklarin.fo/wp-content/uploads/2024/02/a01-3-800x450.jpg</t>
  </si>
  <si>
    <t>Í Nesi 18</t>
  </si>
  <si>
    <t>nesi18sandursandoy</t>
  </si>
  <si>
    <t>https://www.meklarin.fo/wp-content/uploads/2024/03/a01-800x450.jpeg</t>
  </si>
  <si>
    <t>Mainifløta 14</t>
  </si>
  <si>
    <t>Eiði</t>
  </si>
  <si>
    <t>mainiflta14eiieysturoy</t>
  </si>
  <si>
    <t>https://www.meklarin.fo/wp-content/uploads/2024/01/a01-3-800x450.jpg</t>
  </si>
  <si>
    <t>Gerðisbreyt 22</t>
  </si>
  <si>
    <t>Velbastaður</t>
  </si>
  <si>
    <t>gerisbreyt22velbastaurstreymoysuur</t>
  </si>
  <si>
    <t>https://www.meklarin.fo/wp-content/uploads/2024/04/01-2-800x533.jpg</t>
  </si>
  <si>
    <t>Karlamagnusarbreyt 14A, 0. hm</t>
  </si>
  <si>
    <t>Hoyvík</t>
  </si>
  <si>
    <t>karlamagnusarbreyt14a0hmhoyvkstreymoysuur</t>
  </si>
  <si>
    <t>https://www.meklarin.fo/wp-content/uploads/2024/06/01-11-800x450.jpg</t>
  </si>
  <si>
    <t>við Skálaveg</t>
  </si>
  <si>
    <t>Hvalba</t>
  </si>
  <si>
    <t>visklaveghvalbasuuroy</t>
  </si>
  <si>
    <t>https://www.meklarin.fo/wp-content/uploads/2023/06/a01-1-800x450.jpg</t>
  </si>
  <si>
    <t>Trøð - matr.nr. 811</t>
  </si>
  <si>
    <t>trmatrnr811frobasuuroy</t>
  </si>
  <si>
    <t>https://www.meklarin.fo/wp-content/uploads/2023/08/01-1-800x450.jpg</t>
  </si>
  <si>
    <t>Líðartún 14, Líðin</t>
  </si>
  <si>
    <t>lartn14linravksuuroy</t>
  </si>
  <si>
    <t>https://www.meklarin.fo/wp-content/uploads/2022/07/a01-800x481.png</t>
  </si>
  <si>
    <t>Valabrekkan 3</t>
  </si>
  <si>
    <t>Tvøroyri</t>
  </si>
  <si>
    <t>valabrekkan3tvroyrisuuroy</t>
  </si>
  <si>
    <t>https://www.meklarin.fo/wp-content/uploads/2022/05/a01-3-scaled-2-800x450.jpg</t>
  </si>
  <si>
    <t>Langatrøð 12</t>
  </si>
  <si>
    <t>langatr12vgursuuroy</t>
  </si>
  <si>
    <t>https://www.meklarin.fo/wp-content/uploads/2022/05/a01-800x431.png</t>
  </si>
  <si>
    <t>Í Syðrutoftum 18</t>
  </si>
  <si>
    <t>syrutoftum18trongisvgursuuroy</t>
  </si>
  <si>
    <t>https://www.meklarin.fo/wp-content/uploads/2022/05/06-1-scaled-1-800x450.jpg</t>
  </si>
  <si>
    <t>Karlamagnusarbreyt 5B 1.4</t>
  </si>
  <si>
    <t>karlamagnusarbreyt5b14hoyvkstreymoysuur</t>
  </si>
  <si>
    <t>https://www.meklarin.fo/wp-content/uploads/2025/03/01-8-800x533.jpg</t>
  </si>
  <si>
    <t>24. mar. kl. 15:00</t>
  </si>
  <si>
    <t>Marknoyrarvegur 53</t>
  </si>
  <si>
    <t>marknoyrarvegur53vgursuuroy</t>
  </si>
  <si>
    <t>https://www.meklarin.fo/wp-content/uploads/2024/08/a01-1-800x450.jpg</t>
  </si>
  <si>
    <t>Gerðisbreyt 34</t>
  </si>
  <si>
    <t>gerisbreyt34velbastaurstreymoysuur</t>
  </si>
  <si>
    <t>https://www.meklarin.fo/wp-content/uploads/2025/03/01-5-800x533.jpg</t>
  </si>
  <si>
    <t>18. mar. kl. 15:00</t>
  </si>
  <si>
    <t>Heinagøta 4</t>
  </si>
  <si>
    <t>heinagta4trshavnstreymoysuur</t>
  </si>
  <si>
    <t>https://www.meklarin.fo/wp-content/uploads/2025/03/a01-800x450.jpg</t>
  </si>
  <si>
    <t>17. mar. kl. 15:00</t>
  </si>
  <si>
    <t>Torvheyggur</t>
  </si>
  <si>
    <t>torvheyggurfrobasuuroy</t>
  </si>
  <si>
    <t>https://www.meklarin.fo/wp-content/uploads/2022/05/a01-4-scaled-1-800x450.jpg</t>
  </si>
  <si>
    <t>21/03 kl. 16:00</t>
  </si>
  <si>
    <t>Karlamagnusarbreyt 8 3.3</t>
  </si>
  <si>
    <t>karlamagnusarbreyt833hoyvkstreymoysuur</t>
  </si>
  <si>
    <t>https://www.meklarin.fo/wp-content/uploads/2025/02/01-7-800x450.jpg</t>
  </si>
  <si>
    <t xml:space="preserve"> 5. mar. kl. 14:00</t>
  </si>
  <si>
    <t>Sivjugøta 7</t>
  </si>
  <si>
    <t>sivjugta7hoyvkstreymoysuur</t>
  </si>
  <si>
    <t>https://www.meklarin.fo/wp-content/uploads/2025/03/01-800x533.jpg</t>
  </si>
  <si>
    <t xml:space="preserve"> 7. mar. kl. 14:00</t>
  </si>
  <si>
    <t>Berjabrekka 99</t>
  </si>
  <si>
    <t>berjabrekka99trshavnstreymoysuur</t>
  </si>
  <si>
    <t>https://www.meklarin.fo/wp-content/uploads/2025/02/01-3-800x533.jpg</t>
  </si>
  <si>
    <t>24. feb. kl. 15:00</t>
  </si>
  <si>
    <t>við Myllutjørn 28</t>
  </si>
  <si>
    <t>vimyllutjrn28hoyvkstreymoysuur</t>
  </si>
  <si>
    <t>https://www.meklarin.fo/wp-content/uploads/2025/02/01-1-800x502.jpg</t>
  </si>
  <si>
    <t>11. feb. kl. 14:00</t>
  </si>
  <si>
    <t>Eiðisvegur 5</t>
  </si>
  <si>
    <t>eiisvegur5vgursuuroy</t>
  </si>
  <si>
    <t>https://www.meklarin.fo/wp-content/uploads/2025/02/a01-1-800x450.jpg</t>
  </si>
  <si>
    <t>Varðabú 14</t>
  </si>
  <si>
    <t>varab14trshavnstreymoysuur</t>
  </si>
  <si>
    <t>https://www.meklarin.fo/wp-content/uploads/2025/01/a01-800x450.jpg</t>
  </si>
  <si>
    <t xml:space="preserve"> 5. feb. kl. 14:00</t>
  </si>
  <si>
    <t>Lonarstræti 14</t>
  </si>
  <si>
    <t>lonarstrti14sandavgurvgar</t>
  </si>
  <si>
    <t>https://www.meklarin.fo/wp-content/uploads/2025/02/01-2-800x450.jpg</t>
  </si>
  <si>
    <t>Karlamagnusarbreyt 44 0 2</t>
  </si>
  <si>
    <t>karlamagnusarbreyt4402hoyvkstreymoysuur</t>
  </si>
  <si>
    <t>https://www.meklarin.fo/wp-content/uploads/2025/02/01-800x450.jpg</t>
  </si>
  <si>
    <t>smiðjuvegur 1</t>
  </si>
  <si>
    <t>Bøur</t>
  </si>
  <si>
    <t>smijuvegur1burvgar</t>
  </si>
  <si>
    <t>https://www.meklarin.fo/wp-content/uploads/2024/05/01-1-800x450.jpg</t>
  </si>
  <si>
    <t>við Myllutjørn 62</t>
  </si>
  <si>
    <t>vimyllutjrn62hoyvkstreymoysuur</t>
  </si>
  <si>
    <t>https://www.meklarin.fo/wp-content/uploads/2025/04/01-1-800x533.jpg</t>
  </si>
  <si>
    <t>14. apr. kl. 15:00</t>
  </si>
  <si>
    <t>Lýðarsvegur 38 B</t>
  </si>
  <si>
    <t>larsvegur38btoftireysturoy</t>
  </si>
  <si>
    <t>https://www.meklarin.fo/wp-content/uploads/2024/08/02-6-800x450.jpg</t>
  </si>
  <si>
    <t>Tvihus</t>
  </si>
  <si>
    <t>18/03 kl. 12:00</t>
  </si>
  <si>
    <t>Heiðavegur 13 600 Saltangará</t>
  </si>
  <si>
    <t>heiavegur13600saltangar</t>
  </si>
  <si>
    <t>https://betriheim.cdn.fo/savn/lqvnkyvw/a-1.jpg?width=400&amp;height=233&amp;rmode=max&amp;quality=50&amp;t=54&amp;s=QDk_bJjF8Gv1WF_gkRXlKtOg3yI</t>
  </si>
  <si>
    <t xml:space="preserve">Bygd
            1987
          </t>
  </si>
  <si>
    <t>Eyðargøta 2 512 Norðragøta</t>
  </si>
  <si>
    <t>eyargta2512norragta</t>
  </si>
  <si>
    <t>https://betriheim.cdn.fo/savn/j0onpf3r/1.jpg?width=400&amp;height=233&amp;rmode=max&amp;quality=50&amp;t=551&amp;s=zXxYGGcdlH_A5UAsoBOBkzaV05s</t>
  </si>
  <si>
    <t xml:space="preserve">Bygd
            1932
          </t>
  </si>
  <si>
    <t>Bókindaragøta 14 100 Tórshavn</t>
  </si>
  <si>
    <t>bkindaragta14100trshavn</t>
  </si>
  <si>
    <t>https://betriheim.cdn.fo/savn/kenpyyjt/a-1.jpg?width=400&amp;height=233&amp;rmode=max&amp;quality=50&amp;t=1016301&amp;s=69_BdPuj5U0QJr9_436cJjkqEpo</t>
  </si>
  <si>
    <t xml:space="preserve">Bygd
            1957
          </t>
  </si>
  <si>
    <t>Jákup Nolsøes gøta 37 100 Tórshavn</t>
  </si>
  <si>
    <t>jkupnolsesgta37100trshavn</t>
  </si>
  <si>
    <t>https://betriheim.cdn.fo/savn/mflp0rek/1.jpg?width=400&amp;height=233&amp;rmode=max&amp;quality=50&amp;t=48&amp;s=EiG7BFSlP74keDGHp-yF3dGS0Ys</t>
  </si>
  <si>
    <t xml:space="preserve">Bygd
            1964
          </t>
  </si>
  <si>
    <t>Undir Grashjalla 50 700 Klaksvík</t>
  </si>
  <si>
    <t>Klaksvík</t>
  </si>
  <si>
    <t>undirgrashjalla50700klaksvk</t>
  </si>
  <si>
    <t>https://betriheim.cdn.fo/savn/qsuilxvi/a.jpg?width=400&amp;height=233&amp;rmode=max&amp;quality=50&amp;t=25&amp;s=Bir0KsyBKPjgvd0Ae9P7HzZDVRY</t>
  </si>
  <si>
    <t>Galdandi til 14-04-2025, kl 14.00</t>
  </si>
  <si>
    <t xml:space="preserve">Bygd
            2022
          </t>
  </si>
  <si>
    <t>Matr.nr.992s 100 Tórshavn</t>
  </si>
  <si>
    <t>matrnr992s100trshavn</t>
  </si>
  <si>
    <t>https://betriheim.cdn.fo/savn/shwbzday/a-1.jpg?width=400&amp;height=233&amp;rmode=max&amp;quality=50&amp;t=18&amp;s=sAh9InnyjxgBAQbKrFz3bcUZrNI</t>
  </si>
  <si>
    <t>í Heygnum 138 826 Trongisvágur</t>
  </si>
  <si>
    <t>heygnum138826trongisvgur</t>
  </si>
  <si>
    <t>https://betriheim.cdn.fo/savn/jcvej0wx/01.jpg?width=400&amp;height=233&amp;rmode=max&amp;quality=50&amp;s=cTtEv51kCxfjv7NGoynK_81hj-E</t>
  </si>
  <si>
    <t>Ápramsvegur 370 Miðvágur</t>
  </si>
  <si>
    <t>pramsvegur370mivgur</t>
  </si>
  <si>
    <t>https://betriheim.cdn.fo/savn/0a5bde5t/20240306_134158-2.jpg?width=400&amp;height=233&amp;rmode=max&amp;quality=50&amp;s=W6Ftz_Pcle6ILM24yqCpQ2jP4AU</t>
  </si>
  <si>
    <t>Við Krossá 6 180 Kaldbak</t>
  </si>
  <si>
    <t>Kaldbak</t>
  </si>
  <si>
    <t>vikross6180kaldbak</t>
  </si>
  <si>
    <t>https://betriheim.cdn.fo/savn/uyzcktzq/a-1.jpg?width=400&amp;height=233&amp;rmode=max&amp;quality=50&amp;t=1647&amp;s=sWK0WYbuvSVgtEQJImQhb83JvG0</t>
  </si>
  <si>
    <t>Gerðisbreyt 21 176 Velbastaður</t>
  </si>
  <si>
    <t>gerisbreyt21176velbastaur</t>
  </si>
  <si>
    <t>https://betriheim.cdn.fo/savn/243fz1s2/a-11.jpg?width=400&amp;height=233&amp;rmode=max&amp;quality=50&amp;t=27544802&amp;s=CmDpBCid1U7NjOeSMjuOdFEXotc</t>
  </si>
  <si>
    <t>Hornavegur 4 450 Oyri</t>
  </si>
  <si>
    <t>Oyri</t>
  </si>
  <si>
    <t>hornavegur4450oyri</t>
  </si>
  <si>
    <t>https://betriheim.cdn.fo/savn/r5dbsw3h/a-1.jpg?width=400&amp;height=233&amp;rmode=max&amp;quality=50&amp;s=7MihiJZrRcn5v4SgsWhwzg1EfjI</t>
  </si>
  <si>
    <t>Matr nr 632 í Skopun 240 Skopun</t>
  </si>
  <si>
    <t>Skopun</t>
  </si>
  <si>
    <t>matrnr632skopun240skopun</t>
  </si>
  <si>
    <t>https://betriheim.cdn.fo/savn/2ojb5znk/kortal-1.png?width=400&amp;height=233&amp;rmode=max&amp;bgcolor=fff&amp;format=jpg&amp;quality=50&amp;s=qX_xb74DFWYQ0z9zCnHmr3I3JIE</t>
  </si>
  <si>
    <t>Matr. nr. 111a Sørvágur 380 Sørvágur</t>
  </si>
  <si>
    <t>Sørvágur</t>
  </si>
  <si>
    <t>matrnr111asrvgur380srvgur</t>
  </si>
  <si>
    <t>https://betriheim.cdn.fo/savn/1b1nazkh/a-1.jpg?width=400&amp;height=233&amp;rmode=max&amp;quality=50&amp;t=5722&amp;s=8Xpb0-MFyYE5xlc0a_K1T1UJDtc</t>
  </si>
  <si>
    <t>við Hornaveg, Oyri 400 Oyrarbakki</t>
  </si>
  <si>
    <t>Oyrarbakki</t>
  </si>
  <si>
    <t>vihornavegoyri400oyrarbakki</t>
  </si>
  <si>
    <t>https://betriheim.cdn.fo/savn/kjgdcfow/1.jpg?width=400&amp;height=233&amp;rmode=max&amp;quality=50&amp;s=vlS73hxTDxSZy3lpZUUC6en7k_0</t>
  </si>
  <si>
    <t>Ovarivegur 11 380 Sørvágur</t>
  </si>
  <si>
    <t>ovarivegur11380srvgur</t>
  </si>
  <si>
    <t>https://betriheim.cdn.fo/savn/q20gz03o/a-1.jpg?width=400&amp;height=233&amp;rmode=max&amp;quality=50&amp;t=97&amp;s=QxP9_luFTjJEQHAabfSi6wCr_tk</t>
  </si>
  <si>
    <t>Galdandi til 15-04-2025, kl 15:00</t>
  </si>
  <si>
    <t>Matr. 49, Elduvík 478 Elduvík</t>
  </si>
  <si>
    <t>Elduvík</t>
  </si>
  <si>
    <t>matr49elduvk478elduvk</t>
  </si>
  <si>
    <t>https://betriheim.cdn.fo/savn/pjkd2u5r/11.jpg?width=400&amp;height=233&amp;rmode=max&amp;quality=50&amp;s=WWdJbTuero0m0D3QsY3E_TnH9C0</t>
  </si>
  <si>
    <t>Karlamagnusarbreyt 13B 1 1.2</t>
  </si>
  <si>
    <t>karlamagnusarbreyt13b112hoyvkstreymoysuur</t>
  </si>
  <si>
    <t>https://www.meklarin.fo/wp-content/uploads/2025/04/01-2-800x450.jpg</t>
  </si>
  <si>
    <t>Dalagøta 27 100 Tórshavn</t>
  </si>
  <si>
    <t>dalagta27100trshavn</t>
  </si>
  <si>
    <t>https://betriheim.cdn.fo/savn/x2qhxw0a/1.jpg?width=400&amp;height=233&amp;rmode=max&amp;quality=50&amp;t=106&amp;s=t_KokZPO6FhjtJNEEfWM-MM0f7g</t>
  </si>
  <si>
    <t xml:space="preserve">Bygd
            1973
          </t>
  </si>
  <si>
    <t>Dýrindalsgøta 62</t>
  </si>
  <si>
    <t>drindalsgta62hoyvkstreymoysuur</t>
  </si>
  <si>
    <t>https://www.meklarin.fo/wp-content/uploads/2025/04/01-5-800x533.jpg</t>
  </si>
  <si>
    <t>Undir Grashjalla 11</t>
  </si>
  <si>
    <t>Skyn</t>
  </si>
  <si>
    <t>undirgrashjalla11klaksvk</t>
  </si>
  <si>
    <t>https://www.skyn.fo/admin/public/getimage.ashx?&amp;Image=/Files/Images/Ognir/Nordoyggjar/Undir_Grashjalla_11_Klaksvik/01.jpg&amp;Width=360&amp;Height=248&amp;Crop=6</t>
  </si>
  <si>
    <t>Heiðavegur 24</t>
  </si>
  <si>
    <t>heiavegur24norskli</t>
  </si>
  <si>
    <t>https://www.skyn.fo/admin/public/getimage.ashx?&amp;Image=/Files/Images/Ognir/Eysturoy/heidavegur_24_nordskala/01 (2).JPG&amp;Width=360&amp;Height=248&amp;Crop=6</t>
  </si>
  <si>
    <t>matr.nr. 65b</t>
  </si>
  <si>
    <t>matrnr65bsklavk</t>
  </si>
  <si>
    <t>https://www.skyn.fo/admin/public/getimage.ashx?&amp;Image=/Files/Images/Ognir/Sandoy-og-Skuvoy/matr.nr.65b_skalavik/01.JPG&amp;Width=360&amp;Height=248&amp;Crop=6</t>
  </si>
  <si>
    <t>Niels Finsens gøta 23A</t>
  </si>
  <si>
    <t>nielsfinsensgta23atrshavn</t>
  </si>
  <si>
    <t>https://www.skyn.fo/admin/public/getimage.ashx?&amp;Image=/Files/Images/Ognir/Sudurstreymoy/Torshavn/Niels_Finsens_gota_23A_nyta_hetta/01v.jpg&amp;Width=360&amp;Height=248&amp;Crop=6</t>
  </si>
  <si>
    <t>Ólavsvegur 10</t>
  </si>
  <si>
    <t>lavsvegur10toftir</t>
  </si>
  <si>
    <t>https://www.skyn.fo/admin/public/getimage.ashx?&amp;Image=/Files/Images/Ognir/Eysturoy/Olavsvegur_10_Toftir/01_.JPG&amp;Width=360&amp;Height=248&amp;Crop=6</t>
  </si>
  <si>
    <t>matr.nr. 93a Skálavík</t>
  </si>
  <si>
    <t>matrnr93asklavksklavk</t>
  </si>
  <si>
    <t>https://www.skyn.fo/admin/public/getimage.ashx?&amp;Image=/Files/Images/Ognir/Sandoy-og-Skuvoy/matr.nr.93a_Skalavik/1.jpg&amp;Width=360&amp;Height=248&amp;Crop=6</t>
  </si>
  <si>
    <t>matr. nr. 15h Norðoyri</t>
  </si>
  <si>
    <t>Norðoyri</t>
  </si>
  <si>
    <t>matrnr15hnoroyrinoroyri</t>
  </si>
  <si>
    <t>https://www.skyn.fo/admin/public/getimage.ashx?&amp;Image=/Files/Images/Ognir/Nordoyggjar/matr.nr.75h_Nordoyri/02.JPG&amp;Width=360&amp;Height=248&amp;Crop=6</t>
  </si>
  <si>
    <t>Heimastivegur 4</t>
  </si>
  <si>
    <t>heimastivegur4sklavk</t>
  </si>
  <si>
    <t>https://www.skyn.fo/admin/public/getimage.ashx?&amp;Image=/Files/Images/Ognir/Sandoy-og-Skuvoy/heimastivegur_4_skalavik/01.jpg&amp;Width=360&amp;Height=248&amp;Crop=6</t>
  </si>
  <si>
    <t>galdandi til 23.04.2025 12:00</t>
  </si>
  <si>
    <t>Kirkjatún 1</t>
  </si>
  <si>
    <t>kirkjatn1mivgur</t>
  </si>
  <si>
    <t>https://www.skyn.fo/admin/public/getimage.ashx?&amp;Image=/Files/Images/Ognir/Vagar/kirkjatun_1_midvagur/01.JPEG&amp;Width=360&amp;Height=248&amp;Crop=6</t>
  </si>
  <si>
    <t>Heiðavegur 91</t>
  </si>
  <si>
    <t>heiavegur91saltangar</t>
  </si>
  <si>
    <t>https://www.skyn.fo/admin/public/getimage.ashx?&amp;Image=/Files/Images/Ognir/Eysturoy/heidavegur_91_saltangara/01.JPEG&amp;Width=360&amp;Height=248&amp;Crop=6</t>
  </si>
  <si>
    <t>Tungugøta 3</t>
  </si>
  <si>
    <t>Fuglafjørður</t>
  </si>
  <si>
    <t>tungugta3fuglafjrur</t>
  </si>
  <si>
    <t>https://www.skyn.fo/admin/public/getimage.ashx?&amp;Image=/Files/Images/Ognir/Eysturoy/tungugota_3_fuglafjordur/02.jpg&amp;Width=360&amp;Height=248&amp;Crop=6</t>
  </si>
  <si>
    <t>Toftanesvegur 12</t>
  </si>
  <si>
    <t>toftanesvegur12fuglafjrur</t>
  </si>
  <si>
    <t>https://www.skyn.fo/admin/public/getimage.ashx?&amp;Image=/Files/Images/Ognir/Eysturoy/toftanesvegur_12_fuglafjordur/01.JPEG&amp;Width=360&amp;Height=248&amp;Crop=6</t>
  </si>
  <si>
    <t>Skúlavegur 17</t>
  </si>
  <si>
    <t>sklavegur17oyrarbakki</t>
  </si>
  <si>
    <t>https://www.skyn.fo/admin/public/getimage.ashx?&amp;Image=/Files/Images/Ognir/Eysturoy/Skulavegur_17_Oyrarbakki/01.JPG&amp;Width=360&amp;Height=248&amp;Crop=6</t>
  </si>
  <si>
    <t>Víkarvegur 40</t>
  </si>
  <si>
    <t>vkarvegur40kvvk</t>
  </si>
  <si>
    <t>https://www.skyn.fo/admin/public/getimage.ashx?&amp;Image=/Files/Images/Ognir/Nordstreymoy/vikarvegur_40_kvivik/01_.JPG&amp;Width=360&amp;Height=248&amp;Crop=6</t>
  </si>
  <si>
    <t>Smillavegur 10</t>
  </si>
  <si>
    <t>smillavegur10vgur</t>
  </si>
  <si>
    <t>https://www.skyn.fo/admin/public/getimage.ashx?&amp;Image=/Files/Images/Ognir/Suduroy/Smillavegur_10_Vagur/01.jpg&amp;Width=360&amp;Height=248&amp;Crop=6</t>
  </si>
  <si>
    <t>Tinghúsvegur 34</t>
  </si>
  <si>
    <t>tinghsvegur34trshavn</t>
  </si>
  <si>
    <t>https://www.skyn.fo/admin/public/getimage.ashx?&amp;Image=/Files/Images/Ognir/Sudurstreymoy/Torshavn/Tinghusvegur_34_Torshavn/01.PNG&amp;Width=360&amp;Height=248&amp;Crop=6</t>
  </si>
  <si>
    <t>Skipara Hansens gøta 6</t>
  </si>
  <si>
    <t>skiparahansensgta6trshavn</t>
  </si>
  <si>
    <t>https://www.skyn.fo/admin/public/getimage.ashx?&amp;Image=/Files/Images/Ognir/Sudurstreymoy/Torshavn/Skipara_Hansens_gota_6/01.jpg&amp;Width=360&amp;Height=248&amp;Crop=6</t>
  </si>
  <si>
    <t>Høganesvegur 42</t>
  </si>
  <si>
    <t>hganesvegur42toftir</t>
  </si>
  <si>
    <t>https://www.skyn.fo/admin/public/getimage.ashx?&amp;Image=/Files/Images/Ognir/Eysturoy/hoganesvegur_42_toftir/01 (1).JPG&amp;Width=360&amp;Height=248&amp;Crop=6</t>
  </si>
  <si>
    <t>Froðbiarvegur 20</t>
  </si>
  <si>
    <t>frobiarvegur20froba</t>
  </si>
  <si>
    <t>https://www.skyn.fo/admin/public/getimage.ashx?&amp;Image=/Files/Images/Ognir/Suduroy/Frodbiarvegur_20_Frodba/01.jpg&amp;Width=360&amp;Height=248&amp;Crop=6</t>
  </si>
  <si>
    <t>Uppsalagøta 45</t>
  </si>
  <si>
    <t>uppsalagta45klaksvk</t>
  </si>
  <si>
    <t>https://www.skyn.fo/admin/public/getimage.ashx?&amp;Image=/Files/Images/Ognir/Nordoyggjar/Uppsalagota_45_Klaksvik/01.JPG&amp;Width=360&amp;Height=248&amp;Crop=6</t>
  </si>
  <si>
    <t>Gjógvarávegur 41</t>
  </si>
  <si>
    <t>gjgvarvegur41vgur</t>
  </si>
  <si>
    <t>https://www.skyn.fo/admin/public/getimage.ashx?&amp;Image=/Files/Images/Ognir/Suduroy/Gjogvaravegur_41_Vagur/01.jpg&amp;Width=360&amp;Height=248&amp;Crop=6</t>
  </si>
  <si>
    <t>í Túni 16</t>
  </si>
  <si>
    <t>Nólsoy</t>
  </si>
  <si>
    <t>tni16nlsoy</t>
  </si>
  <si>
    <t>https://www.skyn.fo/admin/public/getimage.ashx?&amp;Image=/Files/Images/Ognir/Nolsoy-og-Hestoy/i_Tuni_16_Nolsoy/01.JPG&amp;Width=360&amp;Height=248&amp;Crop=6</t>
  </si>
  <si>
    <t>Uppi á Váli 12</t>
  </si>
  <si>
    <t>Svínoy</t>
  </si>
  <si>
    <t>uppivli12svnoy</t>
  </si>
  <si>
    <t>https://www.skyn.fo/admin/public/getimage.ashx?&amp;Image=/Files/Images/Ognir/Nordoyggjar/Uppi_a_Vali_12_Svinoy/01.JPG&amp;Width=360&amp;Height=248&amp;Crop=6</t>
  </si>
  <si>
    <t>Niðari Vegur 78</t>
  </si>
  <si>
    <t>Skipanes</t>
  </si>
  <si>
    <t>niarivegur78skipanes</t>
  </si>
  <si>
    <t>https://www.skyn.fo/admin/public/getimage.ashx?&amp;Image=/Files/Images/Ognir/Eysturoy/nidari_vegur_78_skipanes/001.jpg&amp;Width=360&amp;Height=248&amp;Crop=6</t>
  </si>
  <si>
    <t>Eiðisvegur 16</t>
  </si>
  <si>
    <t>eiisvegur16vgur</t>
  </si>
  <si>
    <t>https://www.skyn.fo/admin/public/getimage.ashx?&amp;Image=/Files/Images/Ognir/Suduroy/Eidisvegur_16_vagur/01. forsidumynd.jpg&amp;Width=360&amp;Height=248&amp;Crop=6</t>
  </si>
  <si>
    <t>Torkilskrókur 8</t>
  </si>
  <si>
    <t>torkilskrkur8fuglafjrur</t>
  </si>
  <si>
    <t>https://www.skyn.fo/admin/public/getimage.ashx?&amp;Image=/Files/Images/Ognir/Eysturoy/Torkilskrokur_8_fuglafjordur/01.PNG&amp;Width=360&amp;Height=248&amp;Crop=6</t>
  </si>
  <si>
    <t>Dalsvegur 20</t>
  </si>
  <si>
    <t>Dalur</t>
  </si>
  <si>
    <t>dalsvegur20dalur</t>
  </si>
  <si>
    <t>https://www.skyn.fo/admin/public/getimage.ashx?&amp;Image=/Files/Images/Ognir/Sandoy-og-Skuvoy/Dalsvegur_20_Dalur/01.JPG&amp;Width=360&amp;Height=248&amp;Crop=6</t>
  </si>
  <si>
    <t>Billugøta 8</t>
  </si>
  <si>
    <t>billugta8argir</t>
  </si>
  <si>
    <t>https://www.skyn.fo/admin/public/getimage.ashx?&amp;Image=/Files/Images/Ognir/Sudurstreymoy/Argir/Billugoeta_8_160_Argir/01.JPG&amp;Width=360&amp;Height=248&amp;Crop=6</t>
  </si>
  <si>
    <t>Leitisvegur 9</t>
  </si>
  <si>
    <t>leitisvegur9saltangar</t>
  </si>
  <si>
    <t>https://www.skyn.fo/admin/public/getimage.ashx?&amp;Image=/Files/Images/Ognir/Eysturoy/Leitisvegur_9_Glyvrar/1.jpg&amp;Width=360&amp;Height=248&amp;Crop=6</t>
  </si>
  <si>
    <t>Edmundstrøð 12</t>
  </si>
  <si>
    <t>Ánirnar</t>
  </si>
  <si>
    <t>edmundstr12nirnar</t>
  </si>
  <si>
    <t>https://www.skyn.fo/admin/public/getimage.ashx?&amp;Image=/Files/Images/Ognir/Nordoyggjar/Edmundstrod_12_Anirnar/01.JPG&amp;Width=360&amp;Height=248&amp;Crop=6</t>
  </si>
  <si>
    <t>galdandi til 23.04.2025 15:00</t>
  </si>
  <si>
    <t>Kommunubrekka 10A</t>
  </si>
  <si>
    <t>kommunubrekka10aklaksvk</t>
  </si>
  <si>
    <t>https://www.skyn.fo/admin/public/getimage.ashx?&amp;Image=/Files/Images/Ognir/Nordoyggjar/Kommunubrekka_10A_Klaksvík/01.JPG&amp;Width=360&amp;Height=248&amp;Crop=6</t>
  </si>
  <si>
    <t>Á Høvdanum 53</t>
  </si>
  <si>
    <t>hvdanum53froba</t>
  </si>
  <si>
    <t>https://www.skyn.fo/admin/public/getimage.ashx?&amp;Image=/Files/Images/Ognir/Suduroy/a_hovdanum_53_frodba/01.jpg&amp;Width=360&amp;Height=248&amp;Crop=6</t>
  </si>
  <si>
    <t>J.C. Svabos gøta 10</t>
  </si>
  <si>
    <t>jcsvabosgta10trshavn</t>
  </si>
  <si>
    <t>https://www.skyn.fo/admin/public/getimage.ashx?&amp;Image=/Files/Images/Ognir/Sudurstreymoy/Torshavn/JC_Svabosgota_10_Torshavn/01.JPG&amp;Width=360&amp;Height=248&amp;Crop=6</t>
  </si>
  <si>
    <t>Undir Borgarhálsi 44</t>
  </si>
  <si>
    <t>undirborgarhlsi44velbastaur</t>
  </si>
  <si>
    <t>https://www.skyn.fo/admin/public/getimage.ashx?&amp;Image=/Files/Images/Ognir/Sudurstreymoy/Velbastadur/undir_borgarhalsi_44/01.jpg&amp;Width=360&amp;Height=248&amp;Crop=6</t>
  </si>
  <si>
    <t>Myllágøta 7</t>
  </si>
  <si>
    <t>Langasandur</t>
  </si>
  <si>
    <t>myllgta7langasandur</t>
  </si>
  <si>
    <t>https://www.skyn.fo/admin/public/getimage.ashx?&amp;Image=/Files/Images/Ognir/Nordstreymoy/Myllagota_7_Langasandur/01.JPG&amp;Width=360&amp;Height=248&amp;Crop=6</t>
  </si>
  <si>
    <t>Við Grástein 3</t>
  </si>
  <si>
    <t>Hvalvík</t>
  </si>
  <si>
    <t>vigrstein3hvalvk</t>
  </si>
  <si>
    <t>https://www.skyn.fo/admin/public/getimage.ashx?&amp;Image=/Files/Images/Ognir/Nordstreymoy/vid_Grastein_7_Hvalvik/01.JPG&amp;Width=360&amp;Height=248&amp;Crop=6</t>
  </si>
  <si>
    <t>Hornavegur 12</t>
  </si>
  <si>
    <t>hornavegur12oyri</t>
  </si>
  <si>
    <t>https://www.skyn.fo/admin/public/getimage.ashx?&amp;Image=/Files/Images/Ognir/Eysturoy/Hornavegur_12_Oyri/01.JPG&amp;Width=360&amp;Height=248&amp;Crop=6</t>
  </si>
  <si>
    <t>við Krossá 5</t>
  </si>
  <si>
    <t>vikross5kaldbak</t>
  </si>
  <si>
    <t>https://www.skyn.fo/admin/public/getimage.ashx?&amp;Image=/Files/Images/Ognir/Sudurstreymoy/Kaldbak/vid_krossa_5/01.forsidu.jpg&amp;Width=360&amp;Height=248&amp;Crop=6</t>
  </si>
  <si>
    <t>Høganesvegur 26</t>
  </si>
  <si>
    <t>hganesvegur26toftir</t>
  </si>
  <si>
    <t>https://www.skyn.fo/admin/public/getimage.ashx?&amp;Image=/Files/Images/Ognir/Eysturoy/hoganesvegur_26_toftir/01v.JPG&amp;Width=360&amp;Height=248&amp;Crop=6</t>
  </si>
  <si>
    <t>við Høgnaheyggj 2</t>
  </si>
  <si>
    <t>Glyvrar</t>
  </si>
  <si>
    <t>vihgnaheyggj2glyvrar</t>
  </si>
  <si>
    <t>https://www.skyn.fo/admin/public/getimage.ashx?&amp;Image=/Files/Images/Ognir/Eysturoy/vid_Hognaheyggj_2_Glyvrar/01.JPG&amp;Width=360&amp;Height=248&amp;Crop=6</t>
  </si>
  <si>
    <t>Matr. nr. 263b</t>
  </si>
  <si>
    <t>Strendur</t>
  </si>
  <si>
    <t>matrnr263bstrendur</t>
  </si>
  <si>
    <t>https://www.skyn.fo/admin/public/getimage.ashx?&amp;Image=/Files/Images/Ognir/Eysturoy/matr.nr.263b_strendur/01_1.JPG&amp;Width=360&amp;Height=248&amp;Crop=6</t>
  </si>
  <si>
    <t>matr. nr. 255s</t>
  </si>
  <si>
    <t>matrnr255svestmanna</t>
  </si>
  <si>
    <t>https://www.skyn.fo/admin/public/getimage.ashx?&amp;Image=/Files/Images/Ognir/Nordstreymoy/matr_nr_255s_Vestmanna/AGWO4169.PNG&amp;Width=360&amp;Height=248&amp;Crop=6</t>
  </si>
  <si>
    <t>Heiðatrøðin 24</t>
  </si>
  <si>
    <t>heiatrin24tvroyri</t>
  </si>
  <si>
    <t>https://www.skyn.fo/admin/public/getimage.ashx?&amp;Image=/Files/Images/Ognir/Suduroy/heidatrodin_24_tvoroyri/01.jpg&amp;Width=360&amp;Height=248&amp;Crop=6</t>
  </si>
  <si>
    <t>matr.nr. 21f</t>
  </si>
  <si>
    <t>Leynar</t>
  </si>
  <si>
    <t>matrnr21fleynar</t>
  </si>
  <si>
    <t>https://www.skyn.fo/admin/public/getimage.ashx?&amp;Image=/Files/Images/Ognir/Nordstreymoy/matrnr.21f_leynar/IMG_1011.JPG&amp;Width=360&amp;Height=248&amp;Crop=6</t>
  </si>
  <si>
    <t>Klaksvíksvegur 59</t>
  </si>
  <si>
    <t>klaksvksvegur59klaksvk</t>
  </si>
  <si>
    <t>https://www.skyn.fo/admin/public/getimage.ashx?&amp;Image=/Files/Images/Ognir/Nordoyggjar/klaksviksvegur_59_klaksvik/01.JPEG&amp;Width=360&amp;Height=248&amp;Crop=6</t>
  </si>
  <si>
    <t>matr.nr. 1350a</t>
  </si>
  <si>
    <t>matrnr1350atrshavn</t>
  </si>
  <si>
    <t>https://www.skyn.fo/admin/public/getimage.ashx?&amp;Image=/Files/Images/Ognir/Sudurstreymoy/Torshavn/matrnr1350a/01.jpg&amp;Width=360&amp;Height=248&amp;Crop=6</t>
  </si>
  <si>
    <t>matr.nr. 159d</t>
  </si>
  <si>
    <t>matrnr159dnlsoy</t>
  </si>
  <si>
    <t>https://www.skyn.fo/admin/public/getimage.ashx?&amp;Image=/Files/Images/Ognir/Nolsoy-og-Hestoy/Valagota_23_nolsoy/02.jpg&amp;Width=360&amp;Height=248&amp;Crop=6</t>
  </si>
  <si>
    <t>Matr.nr. 12</t>
  </si>
  <si>
    <t>Funningur</t>
  </si>
  <si>
    <t>matrnr12funningur</t>
  </si>
  <si>
    <t>https://www.skyn.fo/admin/public/getimage.ashx?&amp;Image=/Files/Images/Ognir/Eysturoy/matr_nr_12_Funningur/01.JPG&amp;Width=360&amp;Height=248&amp;Crop=6</t>
  </si>
  <si>
    <t>Matr. nr. 34a Húsavík</t>
  </si>
  <si>
    <t>Húsavík</t>
  </si>
  <si>
    <t>matrnr34ahsavkhsavk</t>
  </si>
  <si>
    <t>https://www.skyn.fo/admin/public/getimage.ashx?&amp;Image=/Files/Images/Ognir/Sandoy-og-Skuvoy/matr.nr.34a_Husavik/2.JPG&amp;Width=360&amp;Height=248&amp;Crop=6</t>
  </si>
  <si>
    <t>matr.nr. 31</t>
  </si>
  <si>
    <t>matrnr31ravk</t>
  </si>
  <si>
    <t>https://www.skyn.fo/admin/public/getimage.ashx?&amp;Image=/Files/Images/Ognir/Suduroy/matr_31_ordavik/01.jpg&amp;Width=360&amp;Height=248&amp;Crop=6</t>
  </si>
  <si>
    <t>Jørð til grundøkir omanfyri Múlaklett</t>
  </si>
  <si>
    <t>jrtilgrundkiromanfyrimlakletteii</t>
  </si>
  <si>
    <t>https://www.skyn.fo/admin/public/getimage.ashx?&amp;Image=/Files/Images/Ognir/Eysturoy/matr.nr.434a_eidi_Mulaklettur/04.JPG&amp;Width=360&amp;Height=248&amp;Crop=6</t>
  </si>
  <si>
    <t>Ovari Vegur 13</t>
  </si>
  <si>
    <t>ovarivegur13vestmannastreymoynor</t>
  </si>
  <si>
    <t>https://www.meklarin.fo/wp-content/uploads/2025/04/01-6-800x450.jpg</t>
  </si>
  <si>
    <t>Høganesvegur 52</t>
  </si>
  <si>
    <t>hganesvegur52toftir</t>
  </si>
  <si>
    <t>https://www.skyn.fo/admin/public/getimage.ashx?&amp;Image=/Files/Images/Ognir/Eysturoy/Hoganesvegur_52_Toftir/01.JPG&amp;Width=360&amp;Height=248&amp;Crop=6</t>
  </si>
  <si>
    <t>Kvíggjarvegur 23</t>
  </si>
  <si>
    <t>kvggjarvegur23oyndarfjrur</t>
  </si>
  <si>
    <t>https://www.skyn.fo/admin/public/getimage.ashx?&amp;Image=/Files/Images/Ognir/Eysturoy/Kviggjarvegur_23_Oyndarfjordur/01.JPG&amp;Width=360&amp;Height=248&amp;Crop=6</t>
  </si>
  <si>
    <t>Inni á Fjósi 2</t>
  </si>
  <si>
    <t>Kirkjubøur</t>
  </si>
  <si>
    <t>innifjsi2kirkjubur</t>
  </si>
  <si>
    <t>https://www.skyn.fo/admin/public/getimage.ashx?&amp;Image=/Files/Images/Ognir/Sudurstreymoy/kirkjubour/inni_a_fjosi_2/01.jpg&amp;Width=360&amp;Height=248&amp;Crop=6</t>
  </si>
  <si>
    <t>í Garðinum 10</t>
  </si>
  <si>
    <t>garinum10klaksvk</t>
  </si>
  <si>
    <t>https://www.skyn.fo/admin/public/getimage.ashx?&amp;Image=/Files/Images/Ognir/Nordoyggjar/I_Gardinum_10_Klaksvík/01.JPG&amp;Width=360&amp;Height=248&amp;Crop=6</t>
  </si>
  <si>
    <t>Stoffalág 68</t>
  </si>
  <si>
    <t>stoffalg68trshavnstreymoysuur</t>
  </si>
  <si>
    <t>https://www.meklarin.fo/wp-content/uploads/2025/04/04-5-800x450.jpg</t>
  </si>
  <si>
    <t>Oyrarbakkavegur</t>
  </si>
  <si>
    <t>oyrarbakkaveguroyrarbakkieysturoy</t>
  </si>
  <si>
    <t>https://www.meklarin.fo/wp-content/uploads/2025/04/a01-2-800x450.jpg</t>
  </si>
  <si>
    <t>Niðari Vegur 6</t>
  </si>
  <si>
    <t>niarivegur6sldarfjrur</t>
  </si>
  <si>
    <t>https://www.skyn.fo/admin/public/getimage.ashx?&amp;Image=/Files/Images/Ognir/Eysturoy/nidari_vegur_6_soldarfjordur/01.JPG&amp;Width=360&amp;Height=248&amp;Crop=6</t>
  </si>
  <si>
    <t>Einarsvegur 1</t>
  </si>
  <si>
    <t>Skúvoy</t>
  </si>
  <si>
    <t>einarsvegur1skvoy</t>
  </si>
  <si>
    <t>https://www.skyn.fo/admin/public/getimage.ashx?&amp;Image=/Files/Images/Ognir/Sandoy-og-Skuvoy/einarsvegur_1_skuvoy/01.jpg&amp;Width=360&amp;Height=248&amp;Crop=6</t>
  </si>
  <si>
    <t>Jatnavegur 77</t>
  </si>
  <si>
    <t>jatnavegur77mivgur</t>
  </si>
  <si>
    <t>https://www.skyn.fo/admin/public/getimage.ashx?&amp;Image=/Files/Images/Ognir/Vagar/jatnavegur_77_midvagur/01.JPG&amp;Width=360&amp;Height=248&amp;Crop=6</t>
  </si>
  <si>
    <t>Lyngvegur 15</t>
  </si>
  <si>
    <t>lyngvegur15norskli</t>
  </si>
  <si>
    <t>https://www.skyn.fo/admin/public/getimage.ashx?&amp;Image=/Files/Images/Ognir/Eysturoy/lyngvegur_15_nordskali/01.JPG&amp;Width=360&amp;Height=248&amp;Crop=6</t>
  </si>
  <si>
    <t>Kvíggjartún 8</t>
  </si>
  <si>
    <t>kvggjartn8argirstreymoysuur</t>
  </si>
  <si>
    <t>https://www.meklarin.fo/wp-content/uploads/2025/05/01-800x533.jpg</t>
  </si>
  <si>
    <t>Gaddavegur 50</t>
  </si>
  <si>
    <t>Nes</t>
  </si>
  <si>
    <t>gaddavegur50nes</t>
  </si>
  <si>
    <t>https://www.skyn.fo/admin/public/getimage.ashx?&amp;Image=/Files/Images/Ognir/Eysturoy/gaddavegur_50_nes/1.jpeg&amp;Width=360&amp;Height=248&amp;Crop=6</t>
  </si>
  <si>
    <t>Yviri við Strond 33</t>
  </si>
  <si>
    <t>yvirivistrond33trshavn</t>
  </si>
  <si>
    <t>https://www.skyn.fo/admin/public/getimage.ashx?&amp;Image=/Files/Images/Ognir/Sudurstreymoy/Torshavn/yviri_vid_strond_33/01.JPG&amp;Width=360&amp;Height=248&amp;Crop=6</t>
  </si>
  <si>
    <t>Baraldsgøta 14</t>
  </si>
  <si>
    <t>baraldsgta14trshavn</t>
  </si>
  <si>
    <t>https://www.skyn.fo/admin/public/getimage.ashx?&amp;Image=/Files/Images/Ognir/Sudurstreymoy/Torshavn/baraldsgota_14/01.jpg&amp;Width=360&amp;Height=248&amp;Crop=6</t>
  </si>
  <si>
    <t>Kulibakki 7</t>
  </si>
  <si>
    <t>kulibakki7leirvkeysturoy</t>
  </si>
  <si>
    <t>https://www.meklarin.fo/wp-content/uploads/2025/05/01-800x450.jpeg</t>
  </si>
  <si>
    <t>Matr.nr. 877f Tórshavn</t>
  </si>
  <si>
    <t>matrnr877ftrshavntrshavn</t>
  </si>
  <si>
    <t>https://www.skyn.fo/admin/public/getimage.ashx?&amp;Image=/Files/Images/Ognir/Sudurstreymoy/Torshavn/matr_877f/01.jpg&amp;Width=360&amp;Height=248&amp;Crop=6</t>
  </si>
  <si>
    <t>matr.nr. 244a</t>
  </si>
  <si>
    <t>matrnr244asandavgur</t>
  </si>
  <si>
    <t>https://www.skyn.fo/admin/public/getimage.ashx?&amp;Image=/Files/Images/Ognir/Vagar/matrnr_244a_sandavagur/01.JPG&amp;Width=360&amp;Height=248&amp;Crop=6</t>
  </si>
  <si>
    <t>undir Kongavarða 30</t>
  </si>
  <si>
    <t>undirkongavara30argirstreymoysuur</t>
  </si>
  <si>
    <t>https://www.meklarin.fo/wp-content/uploads/2025/05/01-2-800x450.jpg</t>
  </si>
  <si>
    <t>13. mai. kl. 14:00</t>
  </si>
  <si>
    <t>Biskupsstøðgøta 12 / Marknavegur 1</t>
  </si>
  <si>
    <t>biskupsstgta12marknavegur1klaksvknoroyggjar</t>
  </si>
  <si>
    <t>https://www.meklarin.fo/wp-content/uploads/2025/05/a01-800x450.jpg</t>
  </si>
  <si>
    <t>Ingibjargargøta 2C</t>
  </si>
  <si>
    <t>ingibjargargta2choyvkstreymoysuur</t>
  </si>
  <si>
    <t>https://www.meklarin.fo/wp-content/uploads/2025/05/01-1-800x450.jpg</t>
  </si>
  <si>
    <t>Ovarivegur 36</t>
  </si>
  <si>
    <t>ovarivegur36sumba</t>
  </si>
  <si>
    <t>https://www.skyn.fo/admin/public/getimage.ashx?&amp;Image=/Files/Images/Ognir/Suduroy/ovarivegur_36_sumba/01.jpg&amp;Width=360&amp;Height=248&amp;Crop=6</t>
  </si>
  <si>
    <t>Kvíggjartún 14</t>
  </si>
  <si>
    <t>kvggjartn14argirstreymoysuur</t>
  </si>
  <si>
    <t>https://www.meklarin.fo/wp-content/uploads/2025/05/01-3-800x561.jpg</t>
  </si>
  <si>
    <t>Heinagøta 8</t>
  </si>
  <si>
    <t>heinagta8trshavnstreymoysuur</t>
  </si>
  <si>
    <t>https://www.meklarin.fo/wp-content/uploads/2025/05/01-5-800x450.jpg</t>
  </si>
  <si>
    <t>21. mai. kl. 14:00</t>
  </si>
  <si>
    <t>á Hvítanesi 41</t>
  </si>
  <si>
    <t>Hvítanes</t>
  </si>
  <si>
    <t>hvtanesi41hvtanesstreymoysuur</t>
  </si>
  <si>
    <t>https://www.meklarin.fo/wp-content/uploads/2025/05/01-4-800x450.jpg</t>
  </si>
  <si>
    <t>20. mai. kl. 16:00</t>
  </si>
  <si>
    <t>Breiðablik 3</t>
  </si>
  <si>
    <t>breiablik3trshavnstreymoysuur</t>
  </si>
  <si>
    <t>https://www.meklarin.fo/wp-content/uploads/2025/05/DJI_0217-800x533.jpg</t>
  </si>
  <si>
    <t>22. mai. kl. 14:00</t>
  </si>
  <si>
    <t>Jústabrekka 1</t>
  </si>
  <si>
    <t>jstabrekka1klaksvknoroyggjar</t>
  </si>
  <si>
    <t>https://www.meklarin.fo/wp-content/uploads/2025/05/01-7-800x450.jpg</t>
  </si>
  <si>
    <t>á Fløtti 2</t>
  </si>
  <si>
    <t>fltti2trshavn</t>
  </si>
  <si>
    <t>https://www.skyn.fo/admin/public/getimage.ashx?&amp;Image=/Files/Images/Ognir/Sudurstreymoy/Torshavn/a_flotti_2/01.jpg&amp;Width=360&amp;Height=248&amp;Crop=6</t>
  </si>
  <si>
    <t>Hvalvíksvegur 57</t>
  </si>
  <si>
    <t>hvalvksvegur57hvalvkstreymoynor</t>
  </si>
  <si>
    <t>https://www.meklarin.fo/wp-content/uploads/2025/05/a01-1-800x450.jpg</t>
  </si>
  <si>
    <t>30. mai. kl. 15:00</t>
  </si>
  <si>
    <t>matr.nr. 518</t>
  </si>
  <si>
    <t>matrnr518skla</t>
  </si>
  <si>
    <t>https://www.skyn.fo/admin/public/getimage.ashx?&amp;Image=/Files/Images/Ognir/Eysturoy/matrnr_518_skali/01.JPG&amp;Width=360&amp;Height=248&amp;Crop=6</t>
  </si>
  <si>
    <t>Ingibjargargæta 4E</t>
  </si>
  <si>
    <t>ingibjargargta4ehoyvkstreymoysuur</t>
  </si>
  <si>
    <t>https://www.meklarin.fo/wp-content/uploads/2025/05/01-8-800x450.jpg</t>
  </si>
  <si>
    <t>Heimasandsvegur 21</t>
  </si>
  <si>
    <t>heimasandsvegur21sandur</t>
  </si>
  <si>
    <t>https://www.skyn.fo/admin/public/getimage.ashx?&amp;Image=/Files/Images/Ognir/Sandoy-og-Skuvoy/heimasandsvegur_21/01.JPG&amp;Width=360&amp;Height=248&amp;Crop=6</t>
  </si>
  <si>
    <t>Djóna í Geil gøta 42,1.th.</t>
  </si>
  <si>
    <t>djnageilgta421thtrshavnstreymoysuur</t>
  </si>
  <si>
    <t>https://www.meklarin.fo/wp-content/uploads/2025/05/a01-2-800x450.jpg</t>
  </si>
  <si>
    <t xml:space="preserve"> 3. jun. kl. 15:00</t>
  </si>
  <si>
    <t>Trappugøta 1</t>
  </si>
  <si>
    <t>trappugta1trshavnstreymoysuur</t>
  </si>
  <si>
    <t>https://www.meklarin.fo/wp-content/uploads/2025/05/DJI_0194-800x533.jpg</t>
  </si>
  <si>
    <t>Við Marknoyrarveg</t>
  </si>
  <si>
    <t>vimarknoyrarvegvgursuuroy</t>
  </si>
  <si>
    <t>https://www.meklarin.fo/wp-content/uploads/2025/07/a01-1-800x450.jpg</t>
  </si>
  <si>
    <t>Í Pálsliða 2A</t>
  </si>
  <si>
    <t>plslia2anorragtaeysturoy</t>
  </si>
  <si>
    <t>https://www.meklarin.fo/wp-content/uploads/2025/05/01-1-1-800x566.jpg</t>
  </si>
  <si>
    <t>Gerðisvegur 41</t>
  </si>
  <si>
    <t>gerisvegur41saltangar</t>
  </si>
  <si>
    <t>https://www.skyn.fo/admin/public/getimage.ashx?&amp;Image=/Files/Images/Ognir/Eysturoy/gerdisvegur_41_saltangara/01.jpg&amp;Width=360&amp;Height=248&amp;Crop=6</t>
  </si>
  <si>
    <t>Søldarfjarðarvegur 33</t>
  </si>
  <si>
    <t>sldarfjararvegur33sldarfjrureysturoy</t>
  </si>
  <si>
    <t>https://www.meklarin.fo/wp-content/uploads/2025/06/01-1-800x533.jpg</t>
  </si>
  <si>
    <t>Karlamagnusarbreyt 27K</t>
  </si>
  <si>
    <t>karlamagnusarbreyt27khoyvkstreymoysuur</t>
  </si>
  <si>
    <t>https://www.meklarin.fo/wp-content/uploads/2025/06/01-800x533.jpg</t>
  </si>
  <si>
    <t>Blómubrekka 20</t>
  </si>
  <si>
    <t>blmubrekka20trshavnstreymoysuur</t>
  </si>
  <si>
    <t>https://www.meklarin.fo/wp-content/uploads/2025/06/01-2-800x450.jpg</t>
  </si>
  <si>
    <t>Sjógøta 10</t>
  </si>
  <si>
    <t>sjgta10sumba</t>
  </si>
  <si>
    <t>https://www.skyn.fo/admin/public/getimage.ashx?&amp;Image=/Files/Images/Ognir/Suduroy/sjogota_10_sumba/01.jpg&amp;Width=360&amp;Height=248&amp;Crop=6</t>
  </si>
  <si>
    <t>Úti í Bø 21</t>
  </si>
  <si>
    <t>Syðrugøta</t>
  </si>
  <si>
    <t>tib21syrugta</t>
  </si>
  <si>
    <t>https://www.skyn.fo/admin/public/getimage.ashx?&amp;Image=/Files/Images/Ognir/Eysturoy/uti_i_bo_21_sydrugota/01.JPG&amp;Width=360&amp;Height=248&amp;Crop=6</t>
  </si>
  <si>
    <t>Karlamagnusarbreyt 13B 1.3</t>
  </si>
  <si>
    <t>karlamagnusarbreyt13b13hoyvkstreymoysuur</t>
  </si>
  <si>
    <t>https://www.meklarin.fo/wp-content/uploads/2025/06/01-3-800x450.jpg</t>
  </si>
  <si>
    <t>Neyst - Álaker</t>
  </si>
  <si>
    <t>neystlakertrshavnstreymoysuur</t>
  </si>
  <si>
    <t>https://www.meklarin.fo/wp-content/uploads/2025/06/01-4-800x533.jpg</t>
  </si>
  <si>
    <t>Karlamagnusarbreyt 39,1.2</t>
  </si>
  <si>
    <t>karlamagnusarbreyt3912hoyvkstreymoysuur</t>
  </si>
  <si>
    <t>https://www.meklarin.fo/wp-content/uploads/2025/06/a01-1-800x450.jpg</t>
  </si>
  <si>
    <t>16. jun. kl. 15:00</t>
  </si>
  <si>
    <t>Rættarvegur 14</t>
  </si>
  <si>
    <t>rttarvegur14hsvkstreymoynor</t>
  </si>
  <si>
    <t>https://www.meklarin.fo/wp-content/uploads/2025/06/a01-3-800x450.jpg</t>
  </si>
  <si>
    <t>18. jun. kl. 15:00</t>
  </si>
  <si>
    <t>Polatrøð 5</t>
  </si>
  <si>
    <t>polatr5kollafjrurstreymoynor</t>
  </si>
  <si>
    <t>https://www.meklarin.fo/wp-content/uploads/2025/06/a01-2-800x450.jpg</t>
  </si>
  <si>
    <t>17. jun. kl. 15:00</t>
  </si>
  <si>
    <t>Korndalsvegur 20</t>
  </si>
  <si>
    <t>korndalsvegur20eii</t>
  </si>
  <si>
    <t>https://www.skyn.fo/admin/public/getimage.ashx?&amp;Image=/Files/Images/Ognir/Eysturoy/Korndalsvegur_20_eidi/01.JPG&amp;Width=360&amp;Height=248&amp;Crop=6</t>
  </si>
  <si>
    <t>undir Kongavarða 130</t>
  </si>
  <si>
    <t>undirkongavara130argirstreymoysuur</t>
  </si>
  <si>
    <t>https://www.meklarin.fo/wp-content/uploads/2025/06/01-5-800x450.jpg</t>
  </si>
  <si>
    <t>Hoyvíksvegur 12</t>
  </si>
  <si>
    <t>hoyvksvegur12trshavn</t>
  </si>
  <si>
    <t>https://www.skyn.fo/admin/public/getimage.ashx?&amp;Image=/Files/Images/Ognir/Sudurstreymoy/Torshavn/hoyviksvegur_12/01 - Kopi.JPG&amp;Width=360&amp;Height=248&amp;Crop=6</t>
  </si>
  <si>
    <t>Toftanes 46</t>
  </si>
  <si>
    <t>toftanes46leirvk</t>
  </si>
  <si>
    <t>https://www.skyn.fo/admin/public/getimage.ashx?&amp;Image=/Files/Images/Ognir/Eysturoy/toftanes_46_leirvik/01.JPG&amp;Width=360&amp;Height=248&amp;Crop=6</t>
  </si>
  <si>
    <t>Torvheyggjur 37</t>
  </si>
  <si>
    <t>Tvøroyri - Froðba</t>
  </si>
  <si>
    <t>torvheyggjur37tvroyrifrobasuuroy</t>
  </si>
  <si>
    <t>https://www.meklarin.fo/wp-content/uploads/2025/06/a01-4-800x450.jpg</t>
  </si>
  <si>
    <t>19. jun. kl. 15:00</t>
  </si>
  <si>
    <t>Matr.nr. 165a</t>
  </si>
  <si>
    <t>matrnr165asandavgurvgar</t>
  </si>
  <si>
    <t>https://www.meklarin.fo/wp-content/uploads/2025/06/01-7-800x450.jpg</t>
  </si>
  <si>
    <t>Karlamagnusarbreyt 42, 2.4</t>
  </si>
  <si>
    <t>karlamagnusarbreyt4224hoyvkstreymoysuur</t>
  </si>
  <si>
    <t>https://www.meklarin.fo/wp-content/uploads/2025/06/01-6-800x450.jpg</t>
  </si>
  <si>
    <t>Argjavegur 22</t>
  </si>
  <si>
    <t>argjavegur22argir</t>
  </si>
  <si>
    <t>https://www.skyn.fo/admin/public/getimage.ashx?&amp;Image=/Files/Images/Ognir/Sudurstreymoy/Argir/argjavegur_22/01.JPG&amp;Width=360&amp;Height=248&amp;Crop=6</t>
  </si>
  <si>
    <t xml:space="preserve">Kongabrekkan 17 </t>
  </si>
  <si>
    <t>kongabrekkan17tvroyrisuuroy</t>
  </si>
  <si>
    <t>https://www.meklarin.fo/wp-content/uploads/2025/06/a01-5-800x450.jpg</t>
  </si>
  <si>
    <t>26. jun. kl. 15:00</t>
  </si>
  <si>
    <t>Múlheiðar 29</t>
  </si>
  <si>
    <t>mlheiar29leynar</t>
  </si>
  <si>
    <t>https://www.skyn.fo/admin/public/getimage.ashx?&amp;Image=/Files/Images/Ognir/Nordstreymoy/mulheidar_29_leynar/01.JPG&amp;Width=360&amp;Height=248&amp;Crop=6</t>
  </si>
  <si>
    <t>í Lambabyrgi 8</t>
  </si>
  <si>
    <t>lambabyrgi8trongisvgur</t>
  </si>
  <si>
    <t>https://www.skyn.fo/admin/public/getimage.ashx?&amp;Image=/Files/Images/Ognir/Suduroy/i_lambabyrgi_8_trongisvagur/01.jpg&amp;Width=360&amp;Height=248&amp;Crop=6</t>
  </si>
  <si>
    <t>Bakkavegur 86</t>
  </si>
  <si>
    <t>bakkavegur86vestmannastreymoynor</t>
  </si>
  <si>
    <t>https://www.meklarin.fo/wp-content/uploads/2025/06/a01-6-800x450.jpg</t>
  </si>
  <si>
    <t>30. jun. kl. 16:00</t>
  </si>
  <si>
    <t>Bakkavegur 84</t>
  </si>
  <si>
    <t>bakkavegur84vestmannastreymoynor</t>
  </si>
  <si>
    <t>https://www.meklarin.fo/wp-content/uploads/2025/06/a01-800x491.png</t>
  </si>
  <si>
    <t>á Sondum 18</t>
  </si>
  <si>
    <t>sondum18sandavgur</t>
  </si>
  <si>
    <t>https://www.skyn.fo/admin/public/getimage.ashx?&amp;Image=/Files/Images/Ognir/Vagar/a_sondum_18_sandavagur/01.JPG&amp;Width=360&amp;Height=248&amp;Crop=6</t>
  </si>
  <si>
    <t>Klovavegur 6</t>
  </si>
  <si>
    <t>klovavegur6sldarfjrur</t>
  </si>
  <si>
    <t>https://www.skyn.fo/admin/public/getimage.ashx?&amp;Image=/Files/Images/Ognir/Eysturoy/klovavegur_6_soldarfjordur/01.JPG&amp;Width=360&amp;Height=248&amp;Crop=6</t>
  </si>
  <si>
    <t>matr.nr. 94a og matr.nr. 214</t>
  </si>
  <si>
    <t>Porkeri</t>
  </si>
  <si>
    <t>matrnr94aogmatrnr214porkeri</t>
  </si>
  <si>
    <t>https://www.skyn.fo/admin/public/getimage.ashx?&amp;Image=/Files/Images/Ognir/Suduroy/matrnr_94a_og_214_porkeri/01.jpg&amp;Width=360&amp;Height=248&amp;Crop=6</t>
  </si>
  <si>
    <t>sklaeysturoy</t>
  </si>
  <si>
    <t>https://www.meklarin.fo/wp-content/uploads/2025/06/a01-7-800x450.jpg</t>
  </si>
  <si>
    <t>Rituvíkarvegur 29</t>
  </si>
  <si>
    <t>Rituvík</t>
  </si>
  <si>
    <t>rituvkarvegur29rituvk</t>
  </si>
  <si>
    <t>https://www.skyn.fo/admin/public/getimage.ashx?&amp;Image=/Files/Images/Ognir/Eysturoy/rituvikarvegur_29_rituvik/01.PNG&amp;Width=360&amp;Height=248&amp;Crop=6</t>
  </si>
  <si>
    <t>Salvarávegur 9</t>
  </si>
  <si>
    <t>salvarvegur9syrugta</t>
  </si>
  <si>
    <t>https://www.skyn.fo/admin/public/getimage.ashx?&amp;Image=/Files/Images/Ognir/Eysturoy/salvaravegur_9_sydrugota/01.jpg&amp;Width=360&amp;Height=248&amp;Crop=6</t>
  </si>
  <si>
    <t>Agnið 15</t>
  </si>
  <si>
    <t>agni15nes</t>
  </si>
  <si>
    <t>https://www.skyn.fo/admin/public/getimage.ashx?&amp;Image=/Files/Images/Ognir/Eysturoy/agnid_15_nes/1_1.JPG&amp;Width=360&amp;Height=248&amp;Crop=6</t>
  </si>
  <si>
    <t>Undir Hamri 23</t>
  </si>
  <si>
    <t xml:space="preserve">Hvalvík </t>
  </si>
  <si>
    <t>undirhamri23hvalvkstreymoynor</t>
  </si>
  <si>
    <t>https://www.meklarin.fo/wp-content/uploads/2025/07/a01-800x450.jpg</t>
  </si>
  <si>
    <t>14. jul. kl. 16:00</t>
  </si>
  <si>
    <t>Símunargøta 4</t>
  </si>
  <si>
    <t>smunargta4trshavn</t>
  </si>
  <si>
    <t>https://www.skyn.fo/admin/public/getimage.ashx?&amp;Image=/Files/Images/Ognir/Sudurstreymoy/Torshavn/Simunargota_4_Torshavn/01.JPG&amp;Width=360&amp;Height=248&amp;Crop=6</t>
  </si>
  <si>
    <t>matr.nr. 109a</t>
  </si>
  <si>
    <t>matrnr109astrendur</t>
  </si>
  <si>
    <t>https://www.skyn.fo/admin/public/getimage.ashx?&amp;Image=/Files/Images/Ognir/Eysturoy/matrnr_109a_strendur/01.JPG&amp;Width=360&amp;Height=248&amp;Crop=6</t>
  </si>
  <si>
    <t>Regnavegur 33</t>
  </si>
  <si>
    <t>regnavegur33toftir</t>
  </si>
  <si>
    <t>https://www.skyn.fo/admin/public/getimage.ashx?&amp;Image=/Files/Images/Ognir/Eysturoy/regnavegur_33_toftir/01.JPEG&amp;Width=360&amp;Height=248&amp;Crop=6</t>
  </si>
  <si>
    <t>Skrivaragøta 5</t>
  </si>
  <si>
    <t>skrivaragta5trshavnstreymoysuur</t>
  </si>
  <si>
    <t>https://www.meklarin.fo/wp-content/uploads/2025/07/01-800x450.jpg</t>
  </si>
  <si>
    <t>18. jul. kl. 16:00</t>
  </si>
  <si>
    <t>undirhamri23hvalvkstreymoynorstreymoysuur</t>
  </si>
  <si>
    <t>Kráarvegur 13, Kambsdalur</t>
  </si>
  <si>
    <t>krarvegur13kambsdalurfuglafjrur</t>
  </si>
  <si>
    <t>https://www.skyn.fo/admin/public/getimage.ashx?&amp;Image=/Files/Images/Ognir/Eysturoy/kraarvegur_13_kambsdalur/01.JPG&amp;Width=360&amp;Height=248&amp;Crop=6</t>
  </si>
  <si>
    <t>Á Eystaru Hellu 14</t>
  </si>
  <si>
    <t>eystaruhellu14kvvkstreymoynor</t>
  </si>
  <si>
    <t>https://www.meklarin.fo/wp-content/uploads/2025/07/1-1-800x516.jpg</t>
  </si>
  <si>
    <t>Á Svartafossi 4</t>
  </si>
  <si>
    <t>svartafossi4srvgurvgar</t>
  </si>
  <si>
    <t>https://www.meklarin.fo/wp-content/uploads/2025/07/a01-2-800x450.jpg</t>
  </si>
  <si>
    <t>Válagøta 23</t>
  </si>
  <si>
    <t>vlagta23nlsoy</t>
  </si>
  <si>
    <t>https://www.skyn.fo/admin/public/getimage.ashx?&amp;Image=/Files/Images/Ognir/Nolsoy-og-Hestoy/valagota_23_nolsoy/01.JPG&amp;Width=360&amp;Height=248&amp;Crop=6</t>
  </si>
  <si>
    <t>við Leitisstein 2 og 4</t>
  </si>
  <si>
    <t>vileitisstein2og4norragtaeysturoy</t>
  </si>
  <si>
    <t>https://www.meklarin.fo/wp-content/uploads/2025/07/1-800x450.jpg</t>
  </si>
  <si>
    <t>í Mýrunum við Smærugøtu</t>
  </si>
  <si>
    <t>mrunumvismrugtutrongisvgursuuroy</t>
  </si>
  <si>
    <t>https://www.meklarin.fo/wp-content/uploads/2025/07/a01-3-800x450.jpg</t>
  </si>
  <si>
    <t>Guðrunartún 6 og matr.nr. 45p</t>
  </si>
  <si>
    <t>gurunartn6ogmatrnr45pvestmanna</t>
  </si>
  <si>
    <t>https://www.skyn.fo/admin/public/getimage.ashx?&amp;Image=/Files/Images/Ognir/Nordstreymoy/gudrunartun_9_vestmanna/00.JPG&amp;Width=360&amp;Height=248&amp;Crop=6</t>
  </si>
  <si>
    <t>við Leitisstein 4</t>
  </si>
  <si>
    <t>vileitisstein4norragtaeysturoy</t>
  </si>
  <si>
    <t>Vágsvegur 17</t>
  </si>
  <si>
    <t>vgsvegur17vgur</t>
  </si>
  <si>
    <t>https://www.skyn.fo/admin/public/getimage.ashx?&amp;Image=/Files/Images/Ognir/Suduroy/vagsvegur_17_vagur/000_1.jpg&amp;Width=360&amp;Height=248&amp;Crop=6</t>
  </si>
  <si>
    <t>Bumshamarsvegur 7</t>
  </si>
  <si>
    <t>bumshamarsvegur7klaksvk</t>
  </si>
  <si>
    <t>https://www.skyn.fo/admin/public/getimage.ashx?&amp;Image=/Files/Images/Ognir/Nordoyggjar/bumshamarsvegur_7_klaksvik/01.JPG&amp;Width=360&amp;Height=248&amp;Crop=6</t>
  </si>
  <si>
    <t>Tvørgøta 3</t>
  </si>
  <si>
    <t>tvrgta3trshavnstreymoysuur</t>
  </si>
  <si>
    <t>https://www.meklarin.fo/wp-content/uploads/2025/08/01-800x450.jpg</t>
  </si>
  <si>
    <t xml:space="preserve"> 6. aug. kl. 15:00</t>
  </si>
  <si>
    <t>á Byrgi 23</t>
  </si>
  <si>
    <t>byrgi23strendur</t>
  </si>
  <si>
    <t>https://www.skyn.fo/admin/public/getimage.ashx?&amp;Image=/Files/Images/Ognir/Eysturoy/a_Byrgi_23_Strendur/01.PNG&amp;Width=360&amp;Height=248&amp;Crop=6</t>
  </si>
  <si>
    <t>Brattabrekka 4</t>
  </si>
  <si>
    <t>brattabrekka4trshavn</t>
  </si>
  <si>
    <t>https://www.skyn.fo/admin/public/getimage.ashx?&amp;Image=/Files/Images/Ognir/Sudurstreymoy/Torshavn/Brattabrekka_4_Torshavn/01.JPG&amp;Width=360&amp;Height=248&amp;Crop=6</t>
  </si>
  <si>
    <t>Uppsalagøta 2</t>
  </si>
  <si>
    <t>uppsalagta2klaksvk</t>
  </si>
  <si>
    <t>https://www.skyn.fo/admin/public/getimage.ashx?&amp;Image=/Files/Images/Ognir/Nordoyggjar/Uppsalagota_2_klaksvik/01.JPEG&amp;Width=360&amp;Height=248&amp;Crop=6</t>
  </si>
  <si>
    <t>Gróvargøta 26</t>
  </si>
  <si>
    <t>grvargta26syrugta</t>
  </si>
  <si>
    <t>https://www.skyn.fo/admin/public/getimage.ashx?&amp;Image=/Files/Images/Ognir/Eysturoy/Grovargota_26_sydrugota/01.JPG&amp;Width=360&amp;Height=248&amp;Crop=6</t>
  </si>
  <si>
    <t>Leitisvegur 50</t>
  </si>
  <si>
    <t>leitisvegur50mivgur</t>
  </si>
  <si>
    <t>https://www.skyn.fo/admin/public/getimage.ashx?&amp;Image=/Files/Images/Ognir/Vagar/leitisvegur_50_midvagur/01.jpeg&amp;Width=360&amp;Height=248&amp;Crop=6</t>
  </si>
  <si>
    <t>Langatrøð 6</t>
  </si>
  <si>
    <t>langatr6vgur</t>
  </si>
  <si>
    <t>https://www.skyn.fo/admin/public/getimage.ashx?&amp;Image=/Files/Images/Ognir/Suduroy/Langatrod_6_Vagur/01.JPG&amp;Width=360&amp;Height=248&amp;Crop=6</t>
  </si>
  <si>
    <t>Sjúkrahúsbrekkan 32</t>
  </si>
  <si>
    <t>sjkrahsbrekkan32tvroyri</t>
  </si>
  <si>
    <t>https://www.skyn.fo/admin/public/getimage.ashx?&amp;Image=/Files/Images/Ognir/Suduroy/Sjukrahusbrekkan_32_Tvoroyri/01.jpg&amp;Width=360&amp;Height=248&amp;Crop=6</t>
  </si>
  <si>
    <t>Leitisvegur 3</t>
  </si>
  <si>
    <t>leitisvegur3mivgur</t>
  </si>
  <si>
    <t>https://www.skyn.fo/admin/public/getimage.ashx?&amp;Image=/Files/Images/Ognir/Vagar/Leitisvegur_3_midvagur/01.JPG&amp;Width=360&amp;Height=248&amp;Crop=6</t>
  </si>
  <si>
    <t>Trongisvágsvegur</t>
  </si>
  <si>
    <t>trongisvgsvegurtrongisvgursuuroy</t>
  </si>
  <si>
    <t>https://www.meklarin.fo/wp-content/uploads/2025/08/a01-800x489.jpg</t>
  </si>
  <si>
    <t>á Oyrareingjum 109</t>
  </si>
  <si>
    <t>Oyrareingir</t>
  </si>
  <si>
    <t>oyrareingjum109oyrareingirstreymoynor</t>
  </si>
  <si>
    <t>https://www.meklarin.fo/wp-content/uploads/2025/08/02-2-800x450.jpg</t>
  </si>
  <si>
    <t>Øksnagerði 7</t>
  </si>
  <si>
    <t>ksnageri7trshavnstreymoysuur</t>
  </si>
  <si>
    <t>https://www.meklarin.fo/wp-content/uploads/2025/08/01-1-800x450.jpg</t>
  </si>
  <si>
    <t>Vágsvegur 28</t>
  </si>
  <si>
    <t>vgsvegur28vgur</t>
  </si>
  <si>
    <t>https://www.skyn.fo/admin/public/getimage.ashx?&amp;Image=/Files/Images/Ognir/Suduroy/vagsvegur_28_vagur/01.JPG&amp;Width=360&amp;Height=248&amp;Crop=6</t>
  </si>
  <si>
    <t>Mørkin 9</t>
  </si>
  <si>
    <t>mrkin9fuglafjrur</t>
  </si>
  <si>
    <t>https://www.skyn.fo/admin/public/getimage.ashx?&amp;Image=/Files/Images/Ognir/Eysturoy/morkin_9_fuglafjordur/01.JPG&amp;Width=360&amp;Height=248&amp;Crop=6</t>
  </si>
  <si>
    <t>Sævareingir</t>
  </si>
  <si>
    <t>svareingirsklavksandoy</t>
  </si>
  <si>
    <t>https://www.meklarin.fo/wp-content/uploads/2025/08/a01-800x488.png</t>
  </si>
  <si>
    <t>Skálavegur 232</t>
  </si>
  <si>
    <t>sklavegur232skla</t>
  </si>
  <si>
    <t>https://www.skyn.fo/admin/public/getimage.ashx?&amp;Image=/Files/Images/Ognir/Eysturoy/skalavegur_232_skala/10.JPEG&amp;Width=360&amp;Height=248&amp;Crop=6</t>
  </si>
  <si>
    <t>Karlamagnusarbreyt 27M</t>
  </si>
  <si>
    <t>karlamagnusarbreyt27mhoyvkstreymoysuur</t>
  </si>
  <si>
    <t>https://www.meklarin.fo/wp-content/uploads/2025/08/01-2-800x533.jpg</t>
  </si>
  <si>
    <t>Hagabrekka 23</t>
  </si>
  <si>
    <t>hagabrekka23sklavksandoy</t>
  </si>
  <si>
    <t>https://www.meklarin.fo/wp-content/uploads/2025/08/a02-2-800x450.jpg</t>
  </si>
  <si>
    <t>22. aug. kl. 15:00</t>
  </si>
  <si>
    <t>Eystan Heyg 17</t>
  </si>
  <si>
    <t>eystanheyg17trshavnstreymoysuur</t>
  </si>
  <si>
    <t>https://www.meklarin.fo/wp-content/uploads/2025/08/01-3-800x450.jpg</t>
  </si>
  <si>
    <t>25. aug. kl. 14:00</t>
  </si>
  <si>
    <t>Líðarvegur 13B</t>
  </si>
  <si>
    <t>larvegur13bvgursuuroy</t>
  </si>
  <si>
    <t>https://www.meklarin.fo/wp-content/uploads/2025/08/a01-2-800x450.jpg</t>
  </si>
  <si>
    <t>Rituvíkarvegur 87</t>
  </si>
  <si>
    <t>rituvkarvegur87rituvk</t>
  </si>
  <si>
    <t>https://www.skyn.fo/admin/public/getimage.ashx?&amp;Image=/Files/Images/Ognir/Eysturoy/rituvikarvegur_87_rituvik/01.JPEG&amp;Width=360&amp;Height=248&amp;Crop=6</t>
  </si>
  <si>
    <t>Kirkjubrekkan 19</t>
  </si>
  <si>
    <t>kirkjubrekkan19tvroyri</t>
  </si>
  <si>
    <t>https://www.skyn.fo/admin/public/getimage.ashx?&amp;Image=/Files/Images/Ognir/Suduroy/Kirkjubrekkan_19_Tvoroyri/01.jpg&amp;Width=360&amp;Height=248&amp;Crop=6</t>
  </si>
  <si>
    <t>Grundstykki - Stoffalág 68</t>
  </si>
  <si>
    <t>grundstykkistoffalg68trshavnstreymoysuur</t>
  </si>
  <si>
    <t>https://www.meklarin.fo/wp-content/uploads/2025/08/01-800x465.png</t>
  </si>
  <si>
    <t>Heygalíð 13</t>
  </si>
  <si>
    <t>heygal13vestmannastreymoynor</t>
  </si>
  <si>
    <t>https://www.meklarin.fo/wp-content/uploads/2025/08/01-4-800x450.jpg</t>
  </si>
  <si>
    <t>matr.nr. 82</t>
  </si>
  <si>
    <t>Selatrað</t>
  </si>
  <si>
    <t>matrnr82selatra</t>
  </si>
  <si>
    <t>https://www.skyn.fo/admin/public/getimage.ashx?&amp;Image=/Files/Images/Ognir/Eysturoy/matrnr_82_selatrad/01.JPG&amp;Width=360&amp;Height=248&amp;Crop=6</t>
  </si>
  <si>
    <t>í Svanga 24</t>
  </si>
  <si>
    <t>svanga24trshavnstreymoysuur</t>
  </si>
  <si>
    <t>https://www.meklarin.fo/wp-content/uploads/2025/09/02-800x450.jpg</t>
  </si>
  <si>
    <t xml:space="preserve"> 8. sept. kl. 14:00</t>
  </si>
  <si>
    <t>Neystagrundstykki í Borðoyavík</t>
  </si>
  <si>
    <t>neystagrundstykkiboroyavkklaksvknoroyggjar</t>
  </si>
  <si>
    <t>https://www.meklarin.fo/wp-content/uploads/2025/09/09-1-800x450.jpg</t>
  </si>
  <si>
    <t>Maritugøta 127</t>
  </si>
  <si>
    <t>maritugta127hoyvkstreymoysuur</t>
  </si>
  <si>
    <t>https://www.meklarin.fo/wp-content/uploads/2025/09/01a-800x555.jpg</t>
  </si>
  <si>
    <t>15. sept. kl. 14:00</t>
  </si>
  <si>
    <t>Neyst á Strond</t>
  </si>
  <si>
    <t>neyststrondklaksvknoroyggjar</t>
  </si>
  <si>
    <t>https://www.meklarin.fo/wp-content/uploads/2025/09/11-1-800x450.jpg</t>
  </si>
  <si>
    <t>Dalavegur 2</t>
  </si>
  <si>
    <t>dalavegur2saltangar</t>
  </si>
  <si>
    <t>https://www.skyn.fo/admin/public/getimage.ashx?&amp;Image=/Files/Images/Ognir/Eysturoy/Dalavegur_2_Saltangara/01.JPEG&amp;Width=360&amp;Height=248&amp;Crop=6</t>
  </si>
  <si>
    <t>Matr.nr. 105c Vágur</t>
  </si>
  <si>
    <t>matrnr105cvgurvgur</t>
  </si>
  <si>
    <t>https://www.skyn.fo/admin/public/getimage.ashx?&amp;Image=/Files/Images/Ognir/Suduroy/Matr_nr_105c_Vagur/01.jpg&amp;Width=360&amp;Height=248&amp;Crop=6</t>
  </si>
  <si>
    <t>Høgabólsvegur 2</t>
  </si>
  <si>
    <t>hgablsvegur2saltangareysturoy</t>
  </si>
  <si>
    <t>https://www.meklarin.fo/wp-content/uploads/2025/09/01-1-800x450.jpg</t>
  </si>
  <si>
    <t>17. sept. kl. 14:00</t>
  </si>
  <si>
    <t>Grønlandsvegur 32</t>
  </si>
  <si>
    <t>grnlandsvegur32trshavnstreymoysuur</t>
  </si>
  <si>
    <t>https://www.meklarin.fo/wp-content/uploads/2025/09/05-3-800x450.jpg</t>
  </si>
  <si>
    <t>16. sept. kl. 15:00</t>
  </si>
  <si>
    <t>Torvgøta 22</t>
  </si>
  <si>
    <t>torvgta22klaksvk</t>
  </si>
  <si>
    <t>https://www.skyn.fo/admin/public/getimage.ashx?&amp;Image=/Files/Images/Ognir/Nordoyggjar/torvgota_22_klaksvik/01.JPEG&amp;Width=360&amp;Height=248&amp;Crop=6</t>
  </si>
  <si>
    <t>Ryskigøta 54</t>
  </si>
  <si>
    <t>ryskigta54trshavnstreymoysuur</t>
  </si>
  <si>
    <t>https://www.meklarin.fo/wp-content/uploads/2026/01/01-800x450.jpg</t>
  </si>
  <si>
    <t>Stangavegur 142</t>
  </si>
  <si>
    <t>stangavegur142klaksvk</t>
  </si>
  <si>
    <t>https://www.skyn.fo/admin/public/getimage.ashx?&amp;Image=/Files/Images/Ognir/Nordoyggjar/stangavegur_142_klaksvik/47.jpg&amp;Width=360&amp;Height=248&amp;Crop=6</t>
  </si>
  <si>
    <t>Abbatrøð 6</t>
  </si>
  <si>
    <t>abbatr6trshavn</t>
  </si>
  <si>
    <t>https://www.skyn.fo/admin/public/getimage.ashx?&amp;Image=/Files/Images/Ognir/Sudurstreymoy/Torshavn/abbatrod_6/01.jpg&amp;Width=360&amp;Height=248&amp;Crop=6</t>
  </si>
  <si>
    <t>Grunnlendisgøta 4</t>
  </si>
  <si>
    <t>grunnlendisgta4oyndarfjrur</t>
  </si>
  <si>
    <t>https://www.skyn.fo/admin/public/getimage.ashx?&amp;Image=/Files/Images/Ognir/Eysturoy/grunnlendisgota_4_oyndarfjordur/01.JPG&amp;Width=360&amp;Height=248&amp;Crop=6</t>
  </si>
  <si>
    <t>Toftagøtan 14</t>
  </si>
  <si>
    <t>toftagtan14fuglafjrur</t>
  </si>
  <si>
    <t>https://www.skyn.fo/admin/public/getimage.ashx?&amp;Image=/Files/Images/Ognir/Eysturoy/toftagotan_14_fuglafjordur/01.JPG&amp;Width=360&amp;Height=248&amp;Crop=6</t>
  </si>
  <si>
    <t>Dungabrekka 7</t>
  </si>
  <si>
    <t>dungabrekka7sandavgur</t>
  </si>
  <si>
    <t>https://www.skyn.fo/admin/public/getimage.ashx?&amp;Image=/Files/Images/Ognir/Vagar/dungabrekka_7_sandavagur/01.jpg&amp;Width=360&amp;Height=248&amp;Crop=6</t>
  </si>
  <si>
    <t>Eggjarvegur 32</t>
  </si>
  <si>
    <t>Viðareiði</t>
  </si>
  <si>
    <t>eggjarvegur32viareii</t>
  </si>
  <si>
    <t>https://www.skyn.fo/admin/public/getimage.ashx?&amp;Image=/Files/Images/Ognir/Nordoyggjar/Eggjarvegur_32_Viðareiði/01_01.JPG&amp;Width=360&amp;Height=248&amp;Crop=6</t>
  </si>
  <si>
    <t>Áarrás 12</t>
  </si>
  <si>
    <t>arrs12argirstreymoysuur</t>
  </si>
  <si>
    <t>https://www.meklarin.fo/wp-content/uploads/2025/09/02-4-800x450.jpg</t>
  </si>
  <si>
    <t>25. sept. kl. 15:00</t>
  </si>
  <si>
    <t>Heimasandsvegur 94</t>
  </si>
  <si>
    <t>heimasandsvegur94sandur</t>
  </si>
  <si>
    <t>https://www.skyn.fo/admin/public/getimage.ashx?&amp;Image=/Files/Images/Ognir/Sandoy-og-Skuvoy/heimasandsvegur_94_Sandur/01.JPG&amp;Width=360&amp;Height=248&amp;Crop=6</t>
  </si>
  <si>
    <t>Klaksvíksvegur 28</t>
  </si>
  <si>
    <t>klaksvksvegur28klaksvk</t>
  </si>
  <si>
    <t>https://www.skyn.fo/admin/public/getimage.ashx?&amp;Image=/Files/Images/Ognir/Nordoyggjar/Klaksvíksvegur_28_Klaksvík/01.JPG&amp;Width=360&amp;Height=248&amp;Crop=6</t>
  </si>
  <si>
    <t>undir Heygnum 27</t>
  </si>
  <si>
    <t>undirheygnum27trshavnstreymoysuur</t>
  </si>
  <si>
    <t>https://www.meklarin.fo/wp-content/uploads/2025/09/01-4-800x450.jpg</t>
  </si>
  <si>
    <t>Lýðarvegur 46</t>
  </si>
  <si>
    <t>larvegur46toftireysturoy</t>
  </si>
  <si>
    <t>https://www.meklarin.fo/wp-content/uploads/2025/10/01-800x450.jpeg</t>
  </si>
  <si>
    <t>Bryggjan</t>
  </si>
  <si>
    <t>bryggjanhsvkstreymoynor</t>
  </si>
  <si>
    <t>https://www.meklarin.fo/wp-content/uploads/2025/10/a02-800x450.jpg</t>
  </si>
  <si>
    <t>Guðrunartún 9 og matr.nr. 45p</t>
  </si>
  <si>
    <t>gurunartn9ogmatrnr45pvestmanna</t>
  </si>
  <si>
    <t>galdandi til 06.10.2025 14:30</t>
  </si>
  <si>
    <t>Billugøta 2</t>
  </si>
  <si>
    <t>billugta2argir</t>
  </si>
  <si>
    <t>https://www.skyn.fo/admin/public/getimage.ashx?&amp;Image=/Files/Images/Ognir/Sudurstreymoy/Argir/Billugota_2_Argir/01.jpg&amp;Width=360&amp;Height=248&amp;Crop=6</t>
  </si>
  <si>
    <t>Norðuri í Sondum 35</t>
  </si>
  <si>
    <t>norurisondum35kollafjrur</t>
  </si>
  <si>
    <t>https://www.skyn.fo/admin/public/getimage.ashx?&amp;Image=/Files/Images/Ognir/Nordstreymoy/Norduri_i_Sundum_35_Kollafjordur/01.JPG&amp;Width=360&amp;Height=248&amp;Crop=6</t>
  </si>
  <si>
    <t>Traðarvegur 183</t>
  </si>
  <si>
    <t>traarvegur183trongisvgur</t>
  </si>
  <si>
    <t>https://www.skyn.fo/admin/public/getimage.ashx?&amp;Image=/Files/Images/Ognir/Suduroy/tradarvegur183_Trongisvagur/01.JPG&amp;Width=360&amp;Height=248&amp;Crop=6</t>
  </si>
  <si>
    <t>Ovari Vegur 14</t>
  </si>
  <si>
    <t>ovarivegur14vestmanna</t>
  </si>
  <si>
    <t>https://www.skyn.fo/admin/public/getimage.ashx?&amp;Image=/Files/Images/Ognir/Nordstreymoy/ovari_vegur_14_vestmanna/01.JPG&amp;Width=360&amp;Height=248&amp;Crop=6</t>
  </si>
  <si>
    <t>Ravnsoyargøta 4B</t>
  </si>
  <si>
    <t>ravnsoyargta4btrshavnstreymoysuur</t>
  </si>
  <si>
    <t>https://www.meklarin.fo/wp-content/uploads/2025/10/01-800x450.jpg</t>
  </si>
  <si>
    <t xml:space="preserve"> 7. okt. kl. 15:00</t>
  </si>
  <si>
    <t>Skálavegur 49</t>
  </si>
  <si>
    <t>sklavegur49vgur</t>
  </si>
  <si>
    <t>https://www.skyn.fo/admin/public/getimage.ashx?&amp;Image=/Files/Images/Ognir/Suduroy/Skalavegur_49_Vagur/01.jpg&amp;Width=360&amp;Height=248&amp;Crop=6</t>
  </si>
  <si>
    <t>Norðuri í Sundum 35</t>
  </si>
  <si>
    <t>norurisundum35kollafjrur</t>
  </si>
  <si>
    <t>Giljavegur 44</t>
  </si>
  <si>
    <t>giljavegur44sandavgur</t>
  </si>
  <si>
    <t>https://www.skyn.fo/admin/public/getimage.ashx?&amp;Image=/Files/Images/Ognir/Vagar/giljavegur_44_sandavagur/01.jpg&amp;Width=360&amp;Height=248&amp;Crop=6</t>
  </si>
  <si>
    <t>Karlamagnusarbreyt 27G</t>
  </si>
  <si>
    <t>karlamagnusarbreyt27ghoyvkstreymoysuur</t>
  </si>
  <si>
    <t>https://www.meklarin.fo/wp-content/uploads/2025/10/20-1-800x533.jpg</t>
  </si>
  <si>
    <t>Hjaltarók 17</t>
  </si>
  <si>
    <t>hjaltark17trshavnstreymoysuur</t>
  </si>
  <si>
    <t>https://www.meklarin.fo/wp-content/uploads/2025/10/01-1-800x450.jpg</t>
  </si>
  <si>
    <t>Sundsvegur 13</t>
  </si>
  <si>
    <t>sundsvegur13trshavnstreymoysuur</t>
  </si>
  <si>
    <t>https://www.meklarin.fo/wp-content/uploads/2025/10/01-2-800x450.jpg</t>
  </si>
  <si>
    <t>20. okt. kl. 14:00</t>
  </si>
  <si>
    <t>Garðavegur 54</t>
  </si>
  <si>
    <t>garavegur54klaksvk</t>
  </si>
  <si>
    <t>https://www.skyn.fo/admin/public/getimage.ashx?&amp;Image=/Files/Images/Ognir/Nordoyggjar/gardavegur_54_klaksvik/01.JPG&amp;Width=360&amp;Height=248&amp;Crop=6</t>
  </si>
  <si>
    <t>Lynggøta 4</t>
  </si>
  <si>
    <t>lynggta4trshavn</t>
  </si>
  <si>
    <t>https://www.skyn.fo/admin/public/getimage.ashx?&amp;Image=/Files/Images/Ognir/Sudurstreymoy/Torshavn/Lynggota_4_torshavn/01.jpg&amp;Width=360&amp;Height=248&amp;Crop=6</t>
  </si>
  <si>
    <t>Yviri við Strond 99</t>
  </si>
  <si>
    <t>yvirivistrond99trshavnstreymoysuur</t>
  </si>
  <si>
    <t>https://www.meklarin.fo/wp-content/uploads/2025/10/01-3-800x450.jpg</t>
  </si>
  <si>
    <t>Ovari Vegur 8</t>
  </si>
  <si>
    <t>ovarivegur8leynarstreymoynor</t>
  </si>
  <si>
    <t>https://www.meklarin.fo/wp-content/uploads/2025/10/01-4-800x450.jpg</t>
  </si>
  <si>
    <t>Bøgøta 29</t>
  </si>
  <si>
    <t>bgta29vestmanna</t>
  </si>
  <si>
    <t>https://www.skyn.fo/admin/public/getimage.ashx?&amp;Image=/Files/Images/Ognir/Nordstreymoy/bogota_29_vestmanna/01.JPG&amp;Width=360&amp;Height=248&amp;Crop=6</t>
  </si>
  <si>
    <t>Vesturgøta 11, 1. vm</t>
  </si>
  <si>
    <t>vesturgta111vmtrshavnstreymoysuur</t>
  </si>
  <si>
    <t>https://www.meklarin.fo/wp-content/uploads/2025/10/01-5-800x450.jpg</t>
  </si>
  <si>
    <t>23. okt. kl. 15:00</t>
  </si>
  <si>
    <t>Skálavegur 258</t>
  </si>
  <si>
    <t>sklavegur258skla</t>
  </si>
  <si>
    <t>https://www.skyn.fo/admin/public/getimage.ashx?&amp;Image=/Files/Images/Ognir/Eysturoy/skalavegur_258_skala/03.jpg&amp;Width=360&amp;Height=248&amp;Crop=6</t>
  </si>
  <si>
    <t>Antarvegur 1</t>
  </si>
  <si>
    <t>Runavík</t>
  </si>
  <si>
    <t>antarvegur1runavk</t>
  </si>
  <si>
    <t>https://www.skyn.fo/admin/public/getimage.ashx?&amp;Image=/Files/Images/Ognir/Eysturoy/antarvegur_1_runavik/01.JPG&amp;Width=360&amp;Height=248&amp;Crop=6</t>
  </si>
  <si>
    <t>Gerðagøta 23</t>
  </si>
  <si>
    <t>geragta23klaksvk</t>
  </si>
  <si>
    <t>https://www.skyn.fo/admin/public/getimage.ashx?&amp;Image=/Files/Images/Ognir/Nordoyggjar/gerdagota_23_klaksvik/01.jpg&amp;Width=360&amp;Height=248&amp;Crop=6</t>
  </si>
  <si>
    <t>Lágarvegur 32</t>
  </si>
  <si>
    <t>lgarvegur32strendur</t>
  </si>
  <si>
    <t>https://www.skyn.fo/admin/public/getimage.ashx?&amp;Image=/Files/Images/Ognir/Eysturoy/Lágarvegur_32_Strendur/01.JPG&amp;Width=360&amp;Height=248&amp;Crop=6</t>
  </si>
  <si>
    <t>Víkavegur 51</t>
  </si>
  <si>
    <t>vkavegur51klaksvk</t>
  </si>
  <si>
    <t>https://www.skyn.fo/admin/public/getimage.ashx?&amp;Image=/Files/Images/Ognir/Nordoyggjar/Víkavegur_51_Klaksvík/01.JPEG&amp;Width=360&amp;Height=248&amp;Crop=6</t>
  </si>
  <si>
    <t>Láarvegur 30</t>
  </si>
  <si>
    <t>larvegur30trshavnstreymoysuur</t>
  </si>
  <si>
    <t>https://www.meklarin.fo/wp-content/uploads/2025/10/01-6-800x450.jpg</t>
  </si>
  <si>
    <t>29. okt. kl. 14:00</t>
  </si>
  <si>
    <t>Matr.nr. 57b Árnafjørður</t>
  </si>
  <si>
    <t>Árnafjørður</t>
  </si>
  <si>
    <t>matrnr57brnafjrurrnafjrur</t>
  </si>
  <si>
    <t>https://www.skyn.fo/admin/public/getimage.ashx?&amp;Image=/Files/Images/Ognir/Nordoyggjar/Matr.nr. 57b Árnafjørður/02.jpeg&amp;Width=360&amp;Height=248&amp;Crop=6</t>
  </si>
  <si>
    <t>Kirkjubrekkan 4</t>
  </si>
  <si>
    <t>kirkjubrekkan4tvroyrisuuroy</t>
  </si>
  <si>
    <t>https://www.meklarin.fo/wp-content/uploads/2025/10/a01-1-800x450.jpg</t>
  </si>
  <si>
    <t>Hellutún 13</t>
  </si>
  <si>
    <t>hellutn13trshavnstreymoysuur</t>
  </si>
  <si>
    <t>https://www.meklarin.fo/wp-content/uploads/2025/10/a01-3-800x450.jpg</t>
  </si>
  <si>
    <t>31. okt. kl. 15:00</t>
  </si>
  <si>
    <t>Kirkjubrekka 2</t>
  </si>
  <si>
    <t>kirkjubrekka2klaksvk</t>
  </si>
  <si>
    <t>https://www.skyn.fo/admin/public/getimage.ashx?&amp;Image=/Files/Images/Ognir/Nordoyggjar/Kirkjubrekka_2_Klaksvík/01.JPEG&amp;Width=360&amp;Height=248&amp;Crop=6</t>
  </si>
  <si>
    <t>Írarók 6</t>
  </si>
  <si>
    <t>rark6trshavnstreymoysuur</t>
  </si>
  <si>
    <t>https://www.meklarin.fo/wp-content/uploads/2025/11/01-800x450.jpg</t>
  </si>
  <si>
    <t>á Giljatrøðni 8</t>
  </si>
  <si>
    <t>giljatrni8sandavgur</t>
  </si>
  <si>
    <t>https://www.skyn.fo/admin/public/getimage.ashx?&amp;Image=/Files/Images/Ognir/Vagar/á_Giljatrøðni_8_Sandavágur/03.JPG&amp;Width=360&amp;Height=248&amp;Crop=6</t>
  </si>
  <si>
    <t>Landavegur 94A 0.21</t>
  </si>
  <si>
    <t>landavegur94a021trshavnstreymoysuur</t>
  </si>
  <si>
    <t>https://www.meklarin.fo/wp-content/uploads/2025/11/01b-800x431.jpg</t>
  </si>
  <si>
    <t xml:space="preserve"> 7. nov. kl. 12:00</t>
  </si>
  <si>
    <t>Sundsvegur 17</t>
  </si>
  <si>
    <t>sundsvegur17trshavn</t>
  </si>
  <si>
    <t>https://www.skyn.fo/admin/public/getimage.ashx?&amp;Image=/Files/Images/Ognir/Sudurstreymoy/Torshavn/sundsvegue_17/01.jpg&amp;Width=360&amp;Height=248&amp;Crop=6</t>
  </si>
  <si>
    <t>Stoksoyrarvegur 5</t>
  </si>
  <si>
    <t>stoksoyrarvegur5klaksvknoroyggjar</t>
  </si>
  <si>
    <t>https://www.meklarin.fo/wp-content/uploads/2025/11/01-2-800x450.jpg</t>
  </si>
  <si>
    <t>Sýrugøta 1</t>
  </si>
  <si>
    <t>srugta1trshavnstreymoysuur</t>
  </si>
  <si>
    <t>https://www.meklarin.fo/wp-content/uploads/2025/11/01-3-800x450.jpg</t>
  </si>
  <si>
    <t>12. nov. kl. 14:00</t>
  </si>
  <si>
    <t>matr.nr. 604</t>
  </si>
  <si>
    <t>matrnr604tvroyri</t>
  </si>
  <si>
    <t>https://www.skyn.fo/admin/public/getimage.ashx?&amp;Image=/Files/Images/Ognir/Suduroy/matr_nr_604_frodba_tvoroyri/01.jpg&amp;Width=360&amp;Height=248&amp;Crop=6</t>
  </si>
  <si>
    <t>á Túni 2</t>
  </si>
  <si>
    <t>tni2kvvkstreymoynor</t>
  </si>
  <si>
    <t>https://www.meklarin.fo/wp-content/uploads/2025/11/01-4-800x450.jpg</t>
  </si>
  <si>
    <t>Matr.nr. 521c Sandur-Skopun</t>
  </si>
  <si>
    <t>matrnr521csandurskopunskopun</t>
  </si>
  <si>
    <t>https://www.skyn.fo/admin/public/getimage.ashx?&amp;Image=/Files/Images/Ognir/Sandoy-og-Skuvoy/matr.nr_521c_sandur_skopun/01.JPG&amp;Width=360&amp;Height=248&amp;Crop=6</t>
  </si>
  <si>
    <t>Traðavegur 7</t>
  </si>
  <si>
    <t>traavegur7vgursuuroy</t>
  </si>
  <si>
    <t>https://www.meklarin.fo/wp-content/uploads/2025/11/a01-800x450.jpg</t>
  </si>
  <si>
    <t>á Brekku 14</t>
  </si>
  <si>
    <t>brekku14klaksvk</t>
  </si>
  <si>
    <t>https://www.skyn.fo/admin/public/getimage.ashx?&amp;Image=/Files/Images/Ognir/Nordoyggjar/A_Brekku_14_Klaksvik/01.JPEG&amp;Width=360&amp;Height=248&amp;Crop=6</t>
  </si>
  <si>
    <t>Norðuri á Heyggi 3</t>
  </si>
  <si>
    <t>noruriheyggi3velbastaurstreymoysuur</t>
  </si>
  <si>
    <t>https://www.meklarin.fo/wp-content/uploads/2025/11/01-5-800x450.jpg</t>
  </si>
  <si>
    <t>Ovari vegur 26A-B-C</t>
  </si>
  <si>
    <t>ovarivegur26abcvestmannastreymoynor</t>
  </si>
  <si>
    <t>https://www.meklarin.fo/wp-content/uploads/2025/11/a01-1-800x450.jpg</t>
  </si>
  <si>
    <t>24. nov. kl. 15:00</t>
  </si>
  <si>
    <t>við Krossá 3</t>
  </si>
  <si>
    <t>vikross3kaldbakstreymoysuur</t>
  </si>
  <si>
    <t>https://www.meklarin.fo/wp-content/uploads/2025/11/01-7-800x445.jpg</t>
  </si>
  <si>
    <t>Mýrigøta 6</t>
  </si>
  <si>
    <t>mrigta6trshavnstreymoysuur</t>
  </si>
  <si>
    <t>https://www.meklarin.fo/wp-content/uploads/2025/11/01-8-800x450.jpg</t>
  </si>
  <si>
    <t>26. nov. kl. 12:00</t>
  </si>
  <si>
    <t>Sjógøta 24</t>
  </si>
  <si>
    <t>sjgta24tvroyrisuuroy</t>
  </si>
  <si>
    <t>https://www.meklarin.fo/wp-content/uploads/2025/11/a01-2-800x450.jpg</t>
  </si>
  <si>
    <t>Sjógøta 266</t>
  </si>
  <si>
    <t>sjgta266tvroyri</t>
  </si>
  <si>
    <t>https://www.skyn.fo/admin/public/getimage.ashx?&amp;Image=/Files/Images/Ognir/Suduroy/Sjogota_266_Tvoroyri/01.jpg&amp;Width=360&amp;Height=248&amp;Crop=6</t>
  </si>
  <si>
    <t>Sævareingir 19</t>
  </si>
  <si>
    <t>svareingir19sklavk</t>
  </si>
  <si>
    <t>https://www.skyn.fo/admin/public/getimage.ashx?&amp;Image=/Files/Images/Ognir/Sandoy-og-Skuvoy/Sævareingir_19_Skalavik/01.JPG&amp;Width=360&amp;Height=248&amp;Crop=6</t>
  </si>
  <si>
    <t>J.C. Svabos gøta 52</t>
  </si>
  <si>
    <t>jcsvabosgta52trshavn</t>
  </si>
  <si>
    <t>https://www.skyn.fo/admin/public/getimage.ashx?&amp;Image=/Files/Images/Ognir/Sudurstreymoy/Torshavn/jc_svabos_gota_52/01.JPG&amp;Width=360&amp;Height=248&amp;Crop=6</t>
  </si>
  <si>
    <t>Karlamagnusarbreyt 27L</t>
  </si>
  <si>
    <t>karlamagnusarbreyt27lhoyvkstreymoysuur</t>
  </si>
  <si>
    <t>https://www.meklarin.fo/wp-content/uploads/2025/12/01-800x450.jpg</t>
  </si>
  <si>
    <t>á Flatabø 7</t>
  </si>
  <si>
    <t xml:space="preserve">Eiði </t>
  </si>
  <si>
    <t>flatab7eiieysturoy</t>
  </si>
  <si>
    <t>https://www.meklarin.fo/wp-content/uploads/2025/12/a01-800x450.jpg</t>
  </si>
  <si>
    <t>Undir Grótheyggi 8</t>
  </si>
  <si>
    <t>undirgrtheyggi8oyrarbakki</t>
  </si>
  <si>
    <t>https://www.skyn.fo/admin/public/getimage.ashx?&amp;Image=/Files/Images/Ognir/Eysturoy/Undir_Grótheyggi_8_Oyrarbakki/3.jpg&amp;Width=360&amp;Height=248&amp;Crop=6</t>
  </si>
  <si>
    <t>Undir Grótheyggi 3</t>
  </si>
  <si>
    <t>undirgrtheyggi3oyrarbakki</t>
  </si>
  <si>
    <t>https://www.skyn.fo/admin/public/getimage.ashx?&amp;Image=/Files/Images/Ognir/Eysturoy/Undir_Grótheyggi_3_Oyrarbakka/1.jpg&amp;Width=360&amp;Height=248&amp;Crop=6</t>
  </si>
  <si>
    <t>Undir Ólastovuheygnum 3</t>
  </si>
  <si>
    <t>Gjógv</t>
  </si>
  <si>
    <t>undirlastovuheygnum3gjgv</t>
  </si>
  <si>
    <t>https://www.skyn.fo/admin/public/getimage.ashx?&amp;Image=/Files/Images/Ognir/Eysturoy/Undir_Ólavstovuheygnum_3_Gjógv/Mynd av grundøki Undir Ólastovuheygnum 3_ Gjógv.png&amp;Width=360&amp;Height=248&amp;Crop=6</t>
  </si>
  <si>
    <t>Matr.nr. 70h Oyri</t>
  </si>
  <si>
    <t>matrnr70hoyrioyrarbakki</t>
  </si>
  <si>
    <t>https://www.skyn.fo/admin/public/getimage.ashx?&amp;Image=/Files/Images/Ognir/Eysturoy/Matr.nr._70h_Oyri/Mynd av útstykking.jpg&amp;Width=360&amp;Height=248&amp;Crop=6</t>
  </si>
  <si>
    <t>Heinagerði 16</t>
  </si>
  <si>
    <t>Streymnes</t>
  </si>
  <si>
    <t>heinageri16streymnes</t>
  </si>
  <si>
    <t>https://www.skyn.fo/admin/public/getimage.ashx?&amp;Image=/Files/Images/Ognir/Nordstreymoy/Matr.nr._90c_Streymnes/01.jpg&amp;Width=360&amp;Height=248&amp;Crop=6</t>
  </si>
  <si>
    <t>Gerðisvegur 13</t>
  </si>
  <si>
    <t>gerisvegur13hvalvk</t>
  </si>
  <si>
    <t>https://www.skyn.fo/admin/public/getimage.ashx?&amp;Image=/Files/Images/Ognir/Nordstreymoy/Gerðisvegur_13_Hvalvík/01.jpg&amp;Width=360&amp;Height=248&amp;Crop=6</t>
  </si>
  <si>
    <t>Brekkugerði 13</t>
  </si>
  <si>
    <t>brekkugeri13hsvk</t>
  </si>
  <si>
    <t>https://www.skyn.fo/admin/public/getimage.ashx?&amp;Image=/Files/Images/Ognir/Nordstreymoy/matr_16n_Hósvík/16n Hósvík.jpg&amp;Width=360&amp;Height=248&amp;Crop=6</t>
  </si>
  <si>
    <t>Brekkugerði 15</t>
  </si>
  <si>
    <t>brekkugeri15hsvk</t>
  </si>
  <si>
    <t>https://www.skyn.fo/admin/public/getimage.ashx?&amp;Image=/Files/Images/Ognir/Nordstreymoy/Matr_16b_Hósvík/16b Hósvík.jpg&amp;Width=360&amp;Height=248&amp;Crop=6</t>
  </si>
  <si>
    <t>Hornavegur 9</t>
  </si>
  <si>
    <t>hornavegur9oyri</t>
  </si>
  <si>
    <t>https://www.skyn.fo/admin/public/getimage.ashx?&amp;Image=/Files/Images/Ognir/Nordstreymoy/matr_nr_36ah_Oyri/Mynd av stykkinum.jpg&amp;Width=360&amp;Height=248&amp;Crop=6</t>
  </si>
  <si>
    <t>Hornavegur 18</t>
  </si>
  <si>
    <t>hornavegur18oyri</t>
  </si>
  <si>
    <t>https://www.skyn.fo/admin/public/getimage.ashx?&amp;Image=/Files/Images/Ognir/Eysturoy/Hornavegur_18_Oyri/Mynd av stykkinum.jpg&amp;Width=360&amp;Height=248&amp;Crop=6</t>
  </si>
  <si>
    <t>Lyngvegur 4</t>
  </si>
  <si>
    <t>lyngvegur4norskli</t>
  </si>
  <si>
    <t>https://www.skyn.fo/admin/public/getimage.ashx?&amp;Image=/Files/Images/Ognir/Nordstreymoy/matr_nr_ 137ai_Oyri/Mynd av stykkinum.jpg&amp;Width=360&amp;Height=248&amp;Crop=6</t>
  </si>
  <si>
    <t>Traðavegur 49</t>
  </si>
  <si>
    <t>traavegur49streymnes</t>
  </si>
  <si>
    <t>https://www.skyn.fo/admin/public/getimage.ashx?&amp;Image=/Files/Images/Ognir/Nordstreymoy/matr_nr_90q_Streymnes/Mynd av stykki.jpg&amp;Width=360&amp;Height=248&amp;Crop=6</t>
  </si>
  <si>
    <t>Traðavegur 54</t>
  </si>
  <si>
    <t>traavegur54streymnes</t>
  </si>
  <si>
    <t>https://www.skyn.fo/admin/public/getimage.ashx?&amp;Image=/Files/Images/Ognir/Nordstreymoy/matr__nr_90k_Streymnes/cmv_workspace_20260106_142705.jpg&amp;Width=360&amp;Height=248&amp;Crop=6</t>
  </si>
  <si>
    <t>Sornhústún 11</t>
  </si>
  <si>
    <t>sornhstn11tvroyri</t>
  </si>
  <si>
    <t>https://www.skyn.fo/admin/public/getimage.ashx?&amp;Image=/Files/Images/Ognir/Suduroy/Sornhústún_11_Tvøroyri/01.JPG&amp;Width=360&amp;Height=248&amp;Crop=6</t>
  </si>
  <si>
    <t>Matr.nr. 70g, Oyri</t>
  </si>
  <si>
    <t>matrnr70goyrioyrarbakki</t>
  </si>
  <si>
    <t>https://www.skyn.fo/admin/public/getimage.ashx?&amp;Image=/Files/Images/Ognir/Eysturoy/Matr.nr._70g_Oyri/1.png&amp;Width=360&amp;Height=248&amp;Crop=6</t>
  </si>
  <si>
    <t>Matr.nr. 70f, Oyri</t>
  </si>
  <si>
    <t>matrnr70foyrioyrarbakki</t>
  </si>
  <si>
    <t>https://www.skyn.fo/admin/public/getimage.ashx?&amp;Image=/Files/Images/Ognir/Eysturoy/Matr.nr._70f_Oyri/1.png&amp;Width=360&amp;Height=248&amp;Crop=6</t>
  </si>
  <si>
    <t>Matr.nr. 70e, Oyri</t>
  </si>
  <si>
    <t>matrnr70eoyrioyrarbakki</t>
  </si>
  <si>
    <t>https://www.skyn.fo/admin/public/getimage.ashx?&amp;Image=/Files/Images/Ognir/Eysturoy/matr.nr._70e_Oyri/1.png&amp;Width=360&amp;Height=248&amp;Crop=6</t>
  </si>
  <si>
    <t>á Fløtti 5</t>
  </si>
  <si>
    <t>fltti5trshavnstreymoysuur</t>
  </si>
  <si>
    <t>https://www.meklarin.fo/wp-content/uploads/2026/01/a01-800x450.jpg</t>
  </si>
  <si>
    <t>15. jan. kl. 15:00</t>
  </si>
  <si>
    <t>Hagagerði 27</t>
  </si>
  <si>
    <t>hagageri27srvgur</t>
  </si>
  <si>
    <t>https://www.skyn.fo/admin/public/getimage.ashx?&amp;Image=/Files/Images/Ognir/Vagar/Hagagerdi_27_Sorvagur/01.JPG&amp;Width=360&amp;Height=248&amp;Crop=6</t>
  </si>
  <si>
    <t>Matr.nr. 546, Froðba</t>
  </si>
  <si>
    <t>matrnr546frobafroba</t>
  </si>
  <si>
    <t>https://www.skyn.fo/admin/public/getimage.ashx?&amp;Image=/Files/Images/Ognir/Suduroy/Matr_nr_546_Frodba_Tvoroyri/01.JPG&amp;Width=360&amp;Height=248&amp;Crop=6</t>
  </si>
  <si>
    <t>Stóragerði 24</t>
  </si>
  <si>
    <t>strageri24trshavnstreymoysuur</t>
  </si>
  <si>
    <t>https://www.meklarin.fo/wp-content/uploads/2026/01/01-1-800x453.jpg</t>
  </si>
  <si>
    <t>undir Gráasteini 7A</t>
  </si>
  <si>
    <t>undirgrasteini7atrshavnstreymoysuur</t>
  </si>
  <si>
    <t>https://www.meklarin.fo/wp-content/uploads/2026/01/1-800x450.jpg</t>
  </si>
  <si>
    <t>26. jan. kl. 14:00</t>
  </si>
  <si>
    <t>Sílagøta 7</t>
  </si>
  <si>
    <t>slagta7trshavnstreymoysuur</t>
  </si>
  <si>
    <t>https://www.meklarin.fo/wp-content/uploads/2026/01/a01-1-800x450.jpg</t>
  </si>
  <si>
    <t>27. jan. kl. 15:00</t>
  </si>
  <si>
    <t>Langatún 18</t>
  </si>
  <si>
    <t>langatn18trshavnstreymoysuur</t>
  </si>
  <si>
    <t>https://www.meklarin.fo/wp-content/uploads/2026/01/01-2-800x450.jpg</t>
  </si>
  <si>
    <t>30. jan. kl. 14:00</t>
  </si>
  <si>
    <t>Tinghúsvegur 36</t>
  </si>
  <si>
    <t>tinghsvegur36trshavn</t>
  </si>
  <si>
    <t>https://www.skyn.fo/admin/public/getimage.ashx?&amp;Image=/Files/Images/Ognir/Sudurstreymoy/Torshavn/tinghusvegur_36/01.JPG&amp;Width=360&amp;Height=248&amp;Crop=6</t>
  </si>
  <si>
    <t>Ólivantsgøta 1</t>
  </si>
  <si>
    <t>livantsgta1hoyvk</t>
  </si>
  <si>
    <t>https://www.skyn.fo/admin/public/getimage.ashx?&amp;Image=/Files/Images/Ognir/Sudurstreymoy/Hoyvik/Olivantsgota_1/01.JPG&amp;Width=360&amp;Height=248&amp;Crop=6</t>
  </si>
  <si>
    <t>Leitisvegur 70, íbúð nr. 6</t>
  </si>
  <si>
    <t>leitisvegur70bnr6saltangareysturoy</t>
  </si>
  <si>
    <t>https://www.meklarin.fo/wp-content/uploads/2026/01/Terji84_251001-View-4-1-800x450.jpg</t>
  </si>
  <si>
    <t>Leitisvegur 70, íbúð nr. 2</t>
  </si>
  <si>
    <t>leitisvegur70bnr2saltangareysturoy</t>
  </si>
  <si>
    <t>Korkagøta 7</t>
  </si>
  <si>
    <t>korkagta7trshavn</t>
  </si>
  <si>
    <t>https://www.skyn.fo/admin/public/getimage.ashx?&amp;Image=/Files/Images/Ognir/Sudurstreymoy/Torshavn/korkagota_7/01.JPG&amp;Width=360&amp;Height=248&amp;Crop=6</t>
  </si>
  <si>
    <t>matr.nr. 2</t>
  </si>
  <si>
    <t>Sund</t>
  </si>
  <si>
    <t>matrnr2sund</t>
  </si>
  <si>
    <t>https://www.skyn.fo/admin/public/getimage.ashx?&amp;Image=/Files/Images/Ognir/Sudurstreymoy/Sund/Matr.nr. 2_Sund/01_01.jpg&amp;Width=360&amp;Height=248&amp;Crop=6</t>
  </si>
  <si>
    <t>frobasuuroy</t>
  </si>
  <si>
    <t>https://www.meklarin.fo/wp-content/uploads/2026/02/a01-800x435.jpg</t>
  </si>
  <si>
    <t>Tróndargøta 27-29</t>
  </si>
  <si>
    <t>trndargta2729trshavnstreymoysuur</t>
  </si>
  <si>
    <t>https://www.meklarin.fo/wp-content/uploads/2026/02/01a-800x450.jpg</t>
  </si>
  <si>
    <t>klaksvknoroyggjar</t>
  </si>
  <si>
    <t>https://www.meklarin.fo/wp-content/uploads/2026/02/a01-2-800x450.jpg</t>
  </si>
  <si>
    <t>Reynsgøta 35</t>
  </si>
  <si>
    <t>reynsgta35argirstreymoysuur</t>
  </si>
  <si>
    <t>https://www.meklarin.fo/wp-content/uploads/2026/02/01-1-800x556.jpg</t>
  </si>
  <si>
    <t>Brattalíð 7</t>
  </si>
  <si>
    <t>brattal7trshavnstreymoysuur</t>
  </si>
  <si>
    <t>https://www.meklarin.fo/wp-content/uploads/2026/02/01-800x435.jpg</t>
  </si>
  <si>
    <t>13. feb. kl. 14:00</t>
  </si>
  <si>
    <t>Onundarvegur 4</t>
  </si>
  <si>
    <t>onundarvegur4sandavgur</t>
  </si>
  <si>
    <t>https://www.skyn.fo/admin/public/getimage.ashx?&amp;Image=/Files/Images/Ognir/Vagar/onundarvegur_4_sandavagur/01.JPG&amp;Width=360&amp;Height=248&amp;Crop=6</t>
  </si>
  <si>
    <t>á Heygnum 4</t>
  </si>
  <si>
    <t>heygnum4glyvrareysturoy</t>
  </si>
  <si>
    <t>https://www.meklarin.fo/wp-content/uploads/2026/02/02-2-800x450.jpg</t>
  </si>
  <si>
    <t>20. feb. kl. 12:00</t>
  </si>
  <si>
    <t>Jatnavegur 31</t>
  </si>
  <si>
    <t>jatnavegur31mivgur</t>
  </si>
  <si>
    <t>https://www.skyn.fo/admin/public/getimage.ashx?&amp;Image=/Files/Images/Ognir/Vagar/Jatnavegur_31_Midvagur/01.JPG&amp;Width=360&amp;Height=248&amp;Crop=6</t>
  </si>
  <si>
    <t>Bøgøta 24</t>
  </si>
  <si>
    <t>bgta24vestmannastreymoynor</t>
  </si>
  <si>
    <t>https://www.meklarin.fo/wp-content/uploads/2026/02/02-4-800x450.jpg</t>
  </si>
  <si>
    <t xml:space="preserve"> 2. mar. kl. 15:00</t>
  </si>
  <si>
    <t>Søltuvíkarvegur 8</t>
  </si>
  <si>
    <t>210</t>
  </si>
  <si>
    <t>sltuvkarvegur8210sandoy</t>
  </si>
  <si>
    <t>https://www.meklarin.fo/wp-content/uploads/2026/02/01-2-800x450.jpg</t>
  </si>
  <si>
    <t>Áargarður 11</t>
  </si>
  <si>
    <t>argarur11leirvk</t>
  </si>
  <si>
    <t>https://www.skyn.fo/admin/public/getimage.ashx?&amp;Image=/Files/Images/Ognir/Eysturoy/Aargardur_11_leirvik/01.JPEG&amp;Width=360&amp;Height=248&amp;Crop=6</t>
  </si>
  <si>
    <t>Kommunubrekka 11</t>
  </si>
  <si>
    <t>kommunubrekka11klaksvk</t>
  </si>
  <si>
    <t>https://www.skyn.fo/admin/public/getimage.ashx?&amp;Image=/Files/Images/Ognir/Nordoyggjar/Kommunubrekka_11_Klaksvik/01.JPEG&amp;Width=360&amp;Height=248&amp;Crop=6</t>
  </si>
  <si>
    <t>Ovari Vegur 40</t>
  </si>
  <si>
    <t>ovarivegur40tvroyri</t>
  </si>
  <si>
    <t>https://www.skyn.fo/admin/public/getimage.ashx?&amp;Image=/Files/Images/Ognir/Suduroy/Ovari_Vegur_40_Tvoroyri/01.JPG&amp;Width=360&amp;Height=248&amp;Crop=6</t>
  </si>
  <si>
    <t>sltuvkarvegur8sandursandoy</t>
  </si>
  <si>
    <t>Liðabrekkan 21</t>
  </si>
  <si>
    <t>liabrekkan21srvgurvgar</t>
  </si>
  <si>
    <t>https://www.meklarin.fo/wp-content/uploads/2026/03/a01-800x450.jpg</t>
  </si>
  <si>
    <t xml:space="preserve"> 6. mar. kl. 15:00</t>
  </si>
  <si>
    <t>Torvheyggjur 7</t>
  </si>
  <si>
    <t>torvheyggjur7froba</t>
  </si>
  <si>
    <t>https://www.skyn.fo/admin/public/getimage.ashx?&amp;Image=/Files/Images/Ognir/Suduroy/Torvheyggjur_7_Frodba/01.jpg&amp;Width=360&amp;Height=248&amp;Crop=6</t>
  </si>
  <si>
    <t>Gaddavegur 54</t>
  </si>
  <si>
    <t>gaddavegur54nes</t>
  </si>
  <si>
    <t>https://www.skyn.fo/admin/public/getimage.ashx?&amp;Image=/Files/Images/Ognir/Eysturoy/Gaddavegur_54_Nes/01.JPG&amp;Width=360&amp;Height=248&amp;Crop=6</t>
  </si>
  <si>
    <t>Onnugøta 15</t>
  </si>
  <si>
    <t>onnugta15hoyvkstreymoysuur</t>
  </si>
  <si>
    <t>https://www.meklarin.fo/wp-content/uploads/2026/03/01-800x450.jpg</t>
  </si>
  <si>
    <t>10. mar. kl. 14:00</t>
  </si>
  <si>
    <t>Tróndargøta 25</t>
  </si>
  <si>
    <t>trndargta25trshavnstreymoysuur</t>
  </si>
  <si>
    <t>https://www.meklarin.fo/wp-content/uploads/2026/03/01-1-800x450.jpg</t>
  </si>
  <si>
    <t>Faktorsvegur 23 og 25</t>
  </si>
  <si>
    <t>faktorsvegur23og25klaksvk</t>
  </si>
  <si>
    <t>https://www.skyn.fo/admin/public/getimage.ashx?&amp;Image=/Files/Images/Ognir/Nordoyggjar/Faktorsvegur_23_og_25_Klaksvik/02.JPG&amp;Width=360&amp;Height=248&amp;Crop=6</t>
  </si>
  <si>
    <t>Langatún 30</t>
  </si>
  <si>
    <t>langatn30trshavnstreymoysuur</t>
  </si>
  <si>
    <t>https://www.meklarin.fo/wp-content/uploads/2026/03/01-2-800x450.jpg</t>
  </si>
  <si>
    <t>13. mar. kl. 16:00</t>
  </si>
  <si>
    <t>Sundsvegur 20C</t>
  </si>
  <si>
    <t>sundsvegur20ctrshavnstreymoysuur</t>
  </si>
  <si>
    <t>https://www.meklarin.fo/wp-content/uploads/2026/03/01a-1-800x492.jpg</t>
  </si>
  <si>
    <t>13. mar. kl. 12:00</t>
  </si>
  <si>
    <t>Í Geilini 12</t>
  </si>
  <si>
    <t>geilini12srvgur</t>
  </si>
  <si>
    <t>https://www.skyn.fo/admin/public/getimage.ashx?&amp;Image=/Files/Images/Ognir/Vagar/i_Geilini_12_Sorvagur/01.JPG&amp;Width=360&amp;Height=248&amp;Crop=6</t>
  </si>
  <si>
    <t>Gerðisvegur 33</t>
  </si>
  <si>
    <t>gerisvegur33vestmanna</t>
  </si>
  <si>
    <t>https://www.skyn.fo/admin/public/getimage.ashx?&amp;Image=/Files/Images/Ognir/Nordstreymoy/Gerdisvegur_33_Vestmanna/01.JPG&amp;Width=360&amp;Height=248&amp;Crop=6</t>
  </si>
  <si>
    <t>Vesturgøta 22,1.1</t>
  </si>
  <si>
    <t>vesturgta2211trshavnstreymoysuur</t>
  </si>
  <si>
    <t>https://www.meklarin.fo/wp-content/uploads/2026/03/a01-1-800x450.jpg</t>
  </si>
  <si>
    <t>19. mar. kl. 15:00</t>
  </si>
  <si>
    <t xml:space="preserve">undir Halgheyggi </t>
  </si>
  <si>
    <t>undirhalgheyggisandavgurvgar</t>
  </si>
  <si>
    <t>https://www.meklarin.fo/wp-content/uploads/2026/03/a01-2-800x450.jpg</t>
  </si>
  <si>
    <t>Matr.nr. 62a Froðba</t>
  </si>
  <si>
    <t>matrnr62afrobafrobasuuroy</t>
  </si>
  <si>
    <t>https://www.meklarin.fo/wp-content/uploads/2026/02/a01-1-800x430.jpg</t>
  </si>
  <si>
    <t>Matr.nr. 793a-b-c-d-e-f Froðba</t>
  </si>
  <si>
    <t>matrnr793abcdeffrobafrobasuuroy</t>
  </si>
  <si>
    <t>undir Gráasteini 7B</t>
  </si>
  <si>
    <t>undirgrasteini7btrshavnstreymoysuur</t>
  </si>
  <si>
    <t>https://www.meklarin.fo/wp-content/uploads/2026/03/01-3-800x450.jpg</t>
  </si>
  <si>
    <t>Bøgøta 10</t>
  </si>
  <si>
    <t>bgta10vgursuuroy</t>
  </si>
  <si>
    <t>https://www.meklarin.fo/wp-content/uploads/2026/03/a01-800x509.png</t>
  </si>
  <si>
    <t>Lavagøta 6</t>
  </si>
  <si>
    <t>lavagta6trshavnstreymoysuur</t>
  </si>
  <si>
    <t>https://www.meklarin.fo/wp-content/uploads/2026/03/05-4-800x450.jpg</t>
  </si>
  <si>
    <t>Maritugøta 52, 1. vm</t>
  </si>
  <si>
    <t>maritugta521vmhoyvkstreymoysuur</t>
  </si>
  <si>
    <t>https://www.meklarin.fo/wp-content/uploads/2026/03/09-3-800x450.jpg</t>
  </si>
  <si>
    <t>30. mar. kl. 15:00</t>
  </si>
  <si>
    <t>Í Lágni 10</t>
  </si>
  <si>
    <t>lgni10trshavnstreymoysuur</t>
  </si>
  <si>
    <t>https://www.meklarin.fo/wp-content/uploads/2026/03/IMG_1389-800x450.jpeg</t>
  </si>
  <si>
    <t>Froðbiarvegur 208</t>
  </si>
  <si>
    <t>frobiarvegur208froba</t>
  </si>
  <si>
    <t>https://www.skyn.fo/admin/public/getimage.ashx?&amp;Image=/Files/Images/Ognir/Suduroy/Frodbiarvegur_208_Frodba/01.JPG&amp;Width=360&amp;Height=248&amp;Crop=6</t>
  </si>
  <si>
    <t>Óluvugøta 16</t>
  </si>
  <si>
    <t>luvugta16trshavnstreymoysuur</t>
  </si>
  <si>
    <t>https://www.meklarin.fo/wp-content/uploads/2026/03/01-4-800x450.jpg</t>
  </si>
  <si>
    <t>Á Sondum 25</t>
  </si>
  <si>
    <t>sondum25sandavgur</t>
  </si>
  <si>
    <t>https://www.skyn.fo/admin/public/getimage.ashx?&amp;Image=/Files/Images/Ognir/Vagar/A_Sondum_25_Sandavagur/01.JPG&amp;Width=360&amp;Height=248&amp;Crop=6</t>
  </si>
  <si>
    <t>Glyvravegur 15/17 625 Glyvrar</t>
  </si>
  <si>
    <t>glyvravegur1517625glyvrar</t>
  </si>
  <si>
    <t>https://betriheim.cdn.fo/savn/xjhfcpqq/03.jpg?width=400&amp;height=233&amp;rmode=max&amp;quality=50&amp;t=3623720&amp;s=fKw8FgQ9yU8FoByxse7v-Tr-1p4</t>
  </si>
  <si>
    <t xml:space="preserve">Bygd
            1959
          </t>
  </si>
  <si>
    <t>Heygavegur 1b 700 Klaksvík</t>
  </si>
  <si>
    <t>heygavegur1b700klaksvk</t>
  </si>
  <si>
    <t>https://betriheim.cdn.fo/savn/3tceij5q/1.jpg?width=400&amp;height=233&amp;rmode=max&amp;quality=50&amp;t=62&amp;s=wWVW01D-19kqi69sb2upAkJ-XHs</t>
  </si>
  <si>
    <t xml:space="preserve">Bygd
            1958
          </t>
  </si>
  <si>
    <t>Undir Klakki 41 700 Klaksvík</t>
  </si>
  <si>
    <t>undirklakki41700klaksvk</t>
  </si>
  <si>
    <t>https://betriheim.cdn.fo/savn/qk1bsvsr/1.jpg?width=400&amp;height=233&amp;rmode=max&amp;quality=50&amp;t=506&amp;s=JeeOx6vg5TyJlyhVLUCUcRllHyk</t>
  </si>
  <si>
    <t xml:space="preserve">Bygd
            1985
          </t>
  </si>
  <si>
    <t>Oyggjarvegur 42, 3.2 100 Tórshavn</t>
  </si>
  <si>
    <t>oyggjarvegur4232100trshavn</t>
  </si>
  <si>
    <t>https://betriheim.cdn.fo/savn/omopwgfu/a-2.jpg?width=400&amp;height=233&amp;rmode=max&amp;quality=50&amp;t=130&amp;s=KnXjsFTGldgRwLU5FMR7wJw_bwo</t>
  </si>
  <si>
    <t>Garðavegur 66 700 Klaksvík</t>
  </si>
  <si>
    <t>garavegur66700klaksvk</t>
  </si>
  <si>
    <t>https://betriheim.cdn.fo/savn/oczlabyl/1-2.jpg?width=400&amp;height=233&amp;rmode=max&amp;quality=50&amp;t=555&amp;s=zW-5vuGQ39RN4UZwzu_S1L0E9Dk</t>
  </si>
  <si>
    <t>Undir Kongavarða 5B 160 Argir</t>
  </si>
  <si>
    <t>undirkongavara5b160argir</t>
  </si>
  <si>
    <t>https://betriheim.cdn.fo/savn/pazhws1j/a-4.jpg?width=400&amp;height=233&amp;rmode=max&amp;quality=50&amp;t=52&amp;s=K_VOkaClVyxs-9rVYhbVq9ZUTl0</t>
  </si>
  <si>
    <t xml:space="preserve">Bygd
            2021
          </t>
  </si>
  <si>
    <t>Skúlagøta 6 497 Selatrað</t>
  </si>
  <si>
    <t>sklagta6497selatra</t>
  </si>
  <si>
    <t>https://betriheim.cdn.fo/savn/5r1pzlxz/a-1.jpg?width=400&amp;height=233&amp;rmode=max&amp;quality=50&amp;t=162&amp;s=buZr2FbngDGOPrO9AnmaaoYoLZc</t>
  </si>
  <si>
    <t xml:space="preserve">Bygd
            1981
          </t>
  </si>
  <si>
    <t>Á Sondum 19 360 Sandavágur</t>
  </si>
  <si>
    <t>sondum19360sandavgur</t>
  </si>
  <si>
    <t>https://betriheim.cdn.fo/savn/2jmbyzb0/a-1.jpg?width=400&amp;height=233&amp;rmode=max&amp;quality=50&amp;t=406&amp;s=Y8MhzmoG5gdzpmre58IgQkcu8ws</t>
  </si>
  <si>
    <t xml:space="preserve">Bygd
            1860/70 inum
          </t>
  </si>
  <si>
    <t>Lýðarsvegur 36 650 Toftir</t>
  </si>
  <si>
    <t>larsvegur36650toftir</t>
  </si>
  <si>
    <t>https://betriheim.cdn.fo/savn/aaxeifg3/1.jpg?width=400&amp;height=233&amp;rmode=max&amp;quality=50&amp;t=23&amp;s=V8UEF5xI3shsUdV7hHnqqKJJun8</t>
  </si>
  <si>
    <t>Ovara Gerðisbrekka 11 380 Sørvágur</t>
  </si>
  <si>
    <t>ovaragerisbrekka11380srvgur</t>
  </si>
  <si>
    <t>https://betriheim.cdn.fo/savn/kotbnuyt/1.jpg?width=400&amp;height=233&amp;rmode=max&amp;quality=50&amp;t=148&amp;s=PDaB1a-Q4LPGiMWaBWgzuWcehk8</t>
  </si>
  <si>
    <t xml:space="preserve">Bygd
            2004
          </t>
  </si>
  <si>
    <t>Berjabrekka 171 100 Tórshavn</t>
  </si>
  <si>
    <t>berjabrekka171100trshavn</t>
  </si>
  <si>
    <t>https://betriheim.cdn.fo/savn/hfnlpe4r/a-1.jpg?width=400&amp;height=233&amp;rmode=max&amp;quality=50&amp;t=158&amp;s=8K980Vw4quB4hnFgVpJISTAoHNM</t>
  </si>
  <si>
    <t>Ægishædd 8 100 Tórshavn</t>
  </si>
  <si>
    <t>gishdd8100trshavn</t>
  </si>
  <si>
    <t>https://betriheim.cdn.fo/savn/yerlkoiy/1.jpg?width=400&amp;height=233&amp;rmode=max&amp;quality=50&amp;t=188&amp;s=s8BNrAPljTsLck3g00fw0ahTeaE</t>
  </si>
  <si>
    <t>Vágsvegur 76 900 Vágur</t>
  </si>
  <si>
    <t>vgsvegur76900vgur</t>
  </si>
  <si>
    <t>https://betriheim.cdn.fo/savn/dn4hsx0b/1.jpg?width=400&amp;height=233&amp;rmode=max&amp;quality=50&amp;t=145&amp;s=ETt318kQPHq-vIVFev4-EcGUeEk</t>
  </si>
  <si>
    <t xml:space="preserve">Bygd
            1950
          </t>
  </si>
  <si>
    <t>Skálavegur 12 350 Vestmanna</t>
  </si>
  <si>
    <t>sklavegur12350vestmanna</t>
  </si>
  <si>
    <t>https://betriheim.cdn.fo/savn/zxbb5s3e/1.jpg?width=400&amp;height=233&amp;rmode=max&amp;quality=50&amp;t=101&amp;s=GROwUagGH2jZZ6QOzy31Kyl5srE</t>
  </si>
  <si>
    <t xml:space="preserve">Bygd
            1963
          </t>
  </si>
  <si>
    <t>Rasmusargøta 5 370 Miðvágur</t>
  </si>
  <si>
    <t>rasmusargta5370mivgur</t>
  </si>
  <si>
    <t>https://betriheim.cdn.fo/savn/qrkbmk34/a-1.jpg?width=400&amp;height=233&amp;rmode=max&amp;quality=50&amp;t=75&amp;s=vwg-M_2knku20WuKIc8vemlrkMA</t>
  </si>
  <si>
    <t xml:space="preserve">Bygd
            2007
          </t>
  </si>
  <si>
    <t>Vágsvegur 74 900 Vágur</t>
  </si>
  <si>
    <t>vgsvegur74900vgur</t>
  </si>
  <si>
    <t>https://betriheim.cdn.fo/savn/3syf0e4l/1.jpg?width=400&amp;height=233&amp;rmode=max&amp;quality=50&amp;t=38&amp;s=iZ_Oof6fEZRrh46pkQFWKFS4y6Q</t>
  </si>
  <si>
    <t xml:space="preserve">Bygd
            1939
          </t>
  </si>
  <si>
    <t>Matr.nr. 1470n 100 Tórshavn</t>
  </si>
  <si>
    <t>matrnr1470n100trshavn</t>
  </si>
  <si>
    <t>https://betriheim.cdn.fo/savn/eclk2c5r/b-1.jpg?width=400&amp;height=233&amp;rmode=max&amp;quality=50&amp;t=101&amp;s=fbmNwfZA5kdiMfvwqyqgI85Fhak</t>
  </si>
  <si>
    <t xml:space="preserve">Bygd
            1950/1991
          </t>
  </si>
  <si>
    <t>Niðri Í Túni 1 475 Funningur</t>
  </si>
  <si>
    <t>niritni1475funningur</t>
  </si>
  <si>
    <t>https://betriheim.cdn.fo/savn/4lnhqlto/1.jpg?width=400&amp;height=233&amp;rmode=max&amp;quality=50&amp;t=114&amp;s=xN2Q-9pxAUHUrt0yWEQ8Pd-UveQ</t>
  </si>
  <si>
    <t xml:space="preserve">Bygd
            1978
          </t>
  </si>
  <si>
    <t>Karlamagnusarbreyt 2A 188 Hoyvík</t>
  </si>
  <si>
    <t>karlamagnusarbreyt2a188hoyvk</t>
  </si>
  <si>
    <t>https://betriheim.cdn.fo/savn/rgjfwkao/1.jpg?width=400&amp;height=233&amp;rmode=max&amp;quality=50&amp;t=59&amp;s=_32aMHb34IiLWrcaUlcMtt9PWH0</t>
  </si>
  <si>
    <t>Argjavegur 10, Argir 160 Argir</t>
  </si>
  <si>
    <t>argjavegur10argir160argir</t>
  </si>
  <si>
    <t>https://betriheim.cdn.fo/savn/cmablxsk/a-1.jpg?width=400&amp;height=233&amp;rmode=max&amp;quality=50&amp;t=204&amp;s=WD7zasdIzhiu2viK8V5iuq2CDyk</t>
  </si>
  <si>
    <t xml:space="preserve">Bygd
            2010- 2013
          </t>
  </si>
  <si>
    <t>Inni á Fløtum 660 Søldarfjørður</t>
  </si>
  <si>
    <t>innifltum660sldarfjrur</t>
  </si>
  <si>
    <t>https://betriheim.cdn.fo/savn/qllfp1by/a-1.jpg?width=400&amp;height=233&amp;rmode=max&amp;quality=50&amp;t=74&amp;s=_-Lcy9WOY--Cz3sGjRlHB72OVms</t>
  </si>
  <si>
    <t xml:space="preserve">Bygd
            2009
          </t>
  </si>
  <si>
    <t>Gerðisvegur 29 600 Saltangará</t>
  </si>
  <si>
    <t>gerisvegur29600saltangar</t>
  </si>
  <si>
    <t>https://betriheim.cdn.fo/savn/xlnpwg0l/1.jpg?width=400&amp;height=233&amp;rmode=max&amp;quality=50&amp;t=155&amp;s=7LZ62RzaGpODzVFxbPCZvYeD9e8</t>
  </si>
  <si>
    <t xml:space="preserve">Bygd
            1846
          </t>
  </si>
  <si>
    <t>Bóndabrekka 10 100 Tórshavn</t>
  </si>
  <si>
    <t>bndabrekka10100trshavn</t>
  </si>
  <si>
    <t>https://betriheim.cdn.fo/savn/tmgfby0u/a-1.jpg?width=400&amp;height=233&amp;rmode=max&amp;quality=50&amp;t=246301&amp;s=N6JnBfAOdTHMaGS4bDZM4CP3UgE</t>
  </si>
  <si>
    <t>Áarrás 4 160 Argir</t>
  </si>
  <si>
    <t>arrs4160argir</t>
  </si>
  <si>
    <t>https://betriheim.cdn.fo/savn/c1ncdo10/1.jpg?width=400&amp;height=233&amp;rmode=max&amp;quality=50&amp;t=67&amp;s=Lpkr_KslYPpaJplvXmeztYYTZjU</t>
  </si>
  <si>
    <t xml:space="preserve">Bygd
            1988
          </t>
  </si>
  <si>
    <t>Argjavegur 10 160 Argir</t>
  </si>
  <si>
    <t>argjavegur10160argir</t>
  </si>
  <si>
    <t>inni á Fløtum 2 660 Søldarfjørður</t>
  </si>
  <si>
    <t>innifltum2660sldarfjrur</t>
  </si>
  <si>
    <t>https://betriheim.cdn.fo/savn/zuwpmv4n/a-1.jpg?width=400&amp;height=233&amp;rmode=max&amp;quality=50&amp;t=24&amp;s=WVmDSznqVz06lOeC8_4HJOImoM8</t>
  </si>
  <si>
    <t>Æðuvíkarvegur 18 645 Æðuvík</t>
  </si>
  <si>
    <t>Æðuvík</t>
  </si>
  <si>
    <t>uvkarvegur18645uvk</t>
  </si>
  <si>
    <t>https://betriheim.cdn.fo/savn/0rfddpwq/1.jpg?width=400&amp;height=233&amp;rmode=max&amp;quality=50&amp;t=50&amp;s=DZdUoelNQscwiSQE_AcG-0kBtlk</t>
  </si>
  <si>
    <t xml:space="preserve">Bygd
            1924
          </t>
  </si>
  <si>
    <t>Ovari Vegur 35 335 Leynar</t>
  </si>
  <si>
    <t>ovarivegur35335leynar</t>
  </si>
  <si>
    <t>https://betriheim.cdn.fo/savn/4ell5cpf/a-1.jpg?width=400&amp;height=233&amp;rmode=max&amp;quality=50&amp;t=127&amp;s=LkqbIb9bzwBglbZi45YTdTQ6Jgs</t>
  </si>
  <si>
    <t>Bøgøta 3B 100 Tórshavn</t>
  </si>
  <si>
    <t>bgta3b100trshavn</t>
  </si>
  <si>
    <t>https://betriheim.cdn.fo/savn/b1rf0as5/1.jpg?width=400&amp;height=233&amp;rmode=max&amp;quality=50&amp;t=71&amp;s=X2B-f0D590QbGWBbzkD3MSkEoHc</t>
  </si>
  <si>
    <t xml:space="preserve">Bygd
            Óvist
          </t>
  </si>
  <si>
    <t>Brekkuvegur 41 470 Eiði</t>
  </si>
  <si>
    <t>brekkuvegur41470eii</t>
  </si>
  <si>
    <t>https://betriheim.cdn.fo/savn/txde0fmz/1.jpg?width=400&amp;height=233&amp;rmode=max&amp;quality=50&amp;t=34&amp;s=n7x0islNqcUSacZPpPIefMZTG94</t>
  </si>
  <si>
    <t>Stangavegur 49 700 Klaksvík</t>
  </si>
  <si>
    <t>stangavegur49700klaksvk</t>
  </si>
  <si>
    <t>https://betriheim.cdn.fo/savn/lxsjwvsw/3.jpg?width=400&amp;height=233&amp;rmode=max&amp;quality=50&amp;t=847&amp;s=BOJhCeWt5gu7rPRKGU4ARYBI-CU</t>
  </si>
  <si>
    <t xml:space="preserve">Bygd
            1950/1970
          </t>
  </si>
  <si>
    <t>Rættargøta 3 438 Langasandur</t>
  </si>
  <si>
    <t>rttargta3438langasandur</t>
  </si>
  <si>
    <t>https://betriheim.cdn.fo/savn/zqidf1vx/1.jpg?width=400&amp;height=233&amp;rmode=max&amp;quality=50&amp;t=38&amp;s=4BSL8K5s3ITW-IN0NW9nqyUmGI4</t>
  </si>
  <si>
    <t>Garðabrekka 9 513 Syðrugøta</t>
  </si>
  <si>
    <t>garabrekka9513syrugta</t>
  </si>
  <si>
    <t>https://betriheim.cdn.fo/savn/vc3jmx3r/a-1.jpg?width=400&amp;height=233&amp;rmode=max&amp;quality=50&amp;t=129&amp;s=coQoayUgN1X2qgZfuYf4dkeVMGE</t>
  </si>
  <si>
    <t xml:space="preserve">Bygd
            1974
          </t>
  </si>
  <si>
    <t>Við Høgnaheyggj 4 625 Glyvrar</t>
  </si>
  <si>
    <t>vihgnaheyggj4625glyvrar</t>
  </si>
  <si>
    <t>https://betriheim.cdn.fo/savn/ymod51ly/1.jpg?width=400&amp;height=233&amp;rmode=max&amp;quality=50&amp;t=48&amp;s=uIGS-Xdml0wdFRXtuCSkFLGSCzs</t>
  </si>
  <si>
    <t>Brekkuvegur 17 470 Eiði</t>
  </si>
  <si>
    <t>brekkuvegur17470eii</t>
  </si>
  <si>
    <t>https://betriheim.cdn.fo/savn/cyfhh5w2/1.jpg?width=400&amp;height=233&amp;rmode=max&amp;quality=50&amp;t=41&amp;s=Jt-YzD8hGJ_bHsGYfkPbWsuWaFs</t>
  </si>
  <si>
    <t xml:space="preserve">Bygd
            1910
          </t>
  </si>
  <si>
    <t>Hoyvíksvegur 18 100 Tórshavn</t>
  </si>
  <si>
    <t>hoyvksvegur18100trshavn</t>
  </si>
  <si>
    <t>https://betriheim.cdn.fo/savn/z1qkyb25/a-1.jpg?width=400&amp;height=233&amp;rmode=max&amp;quality=50&amp;s=YCuXHrwD-tQV1TCrCHFxlxR-Ujc</t>
  </si>
  <si>
    <t xml:space="preserve">Bygd
            1907
          </t>
  </si>
  <si>
    <t>Ovari Vegur 77 800 Tvøroyri</t>
  </si>
  <si>
    <t>ovarivegur77800tvroyri</t>
  </si>
  <si>
    <t>https://betriheim.cdn.fo/savn/vyqp2og0/1.jpg?width=400&amp;height=233&amp;rmode=max&amp;quality=50&amp;t=81&amp;s=09XdATzUDJH442CvrypYyvr5xkI</t>
  </si>
  <si>
    <t xml:space="preserve">Bygd
            1986
          </t>
  </si>
  <si>
    <t>Tjaldursvegur 8 800 Tvøroyri</t>
  </si>
  <si>
    <t>tjaldursvegur8800tvroyri</t>
  </si>
  <si>
    <t>https://betriheim.cdn.fo/savn/zixheet1/1.jpg?width=400&amp;height=233&amp;rmode=max&amp;quality=50&amp;t=80&amp;s=oXIDG07hKit2sdkykIc7dvgiKK8</t>
  </si>
  <si>
    <t>í Lágni 21 100 Tórshavn</t>
  </si>
  <si>
    <t>lgni21100trshavn</t>
  </si>
  <si>
    <t>https://betriheim.cdn.fo/savn/vrqjaxy3/a-1.jpg?width=400&amp;height=233&amp;rmode=max&amp;quality=50&amp;t=79&amp;s=t2Z0twAdyuUT5OivcalayELuH_w</t>
  </si>
  <si>
    <t xml:space="preserve">Bygd
            1990
          </t>
  </si>
  <si>
    <t>Garðavegur 62 700 Klaksvík</t>
  </si>
  <si>
    <t>garavegur62700klaksvk</t>
  </si>
  <si>
    <t>https://betriheim.cdn.fo/savn/uf3lwebd/1.jpg?width=400&amp;height=233&amp;rmode=max&amp;quality=50&amp;t=160&amp;s=c_NzmjsC5UfHOUhjmgfe0Bmc9do</t>
  </si>
  <si>
    <t xml:space="preserve">Bygd
            1939/45
          </t>
  </si>
  <si>
    <t>Fámjinsvegur 15 870 Fámjin</t>
  </si>
  <si>
    <t>Fámjin</t>
  </si>
  <si>
    <t>fmjinsvegur15870fmjin</t>
  </si>
  <si>
    <t>https://betriheim.cdn.fo/savn/m15lmjgy/1.jpg?width=400&amp;height=233&amp;rmode=max&amp;quality=50&amp;t=108&amp;s=9OquuVGESZePdaqr2MgI2d4lkV0</t>
  </si>
  <si>
    <t xml:space="preserve">Bygd
            1948
          </t>
  </si>
  <si>
    <t>Rasmusargøta 19 495 Kolbeinagjógv</t>
  </si>
  <si>
    <t>Kolbeinagjógv</t>
  </si>
  <si>
    <t>rasmusargta19495kolbeinagjgv</t>
  </si>
  <si>
    <t>https://betriheim.cdn.fo/savn/2lkaxapy/1.jpg?width=400&amp;height=233&amp;rmode=max&amp;quality=50&amp;t=19&amp;s=fc2A12CM15bB0UQC4fmrh1tsSR8</t>
  </si>
  <si>
    <t>Galdandi til 24-07-2025, kl 14.00</t>
  </si>
  <si>
    <t>Glyvravegur 60 625 Glyvrar</t>
  </si>
  <si>
    <t>glyvravegur60625glyvrar</t>
  </si>
  <si>
    <t>https://betriheim.cdn.fo/savn/vusifork/1.jpg?width=400&amp;height=233&amp;rmode=max&amp;quality=50&amp;t=29&amp;s=V14TmsLl8cXRAf_bV8QboMmGvjM</t>
  </si>
  <si>
    <t xml:space="preserve">Bygd
            1976
          </t>
  </si>
  <si>
    <t>Streymnesvegur 96-98 435 Streymnes</t>
  </si>
  <si>
    <t>streymnesvegur9698435streymnes</t>
  </si>
  <si>
    <t>https://betriheim.cdn.fo/savn/psnhrces/2.jpg?width=400&amp;height=233&amp;rmode=max&amp;quality=50&amp;t=1468&amp;s=CcJF5TpO9tNmJ6Bnh-p34h9bq5c</t>
  </si>
  <si>
    <t xml:space="preserve">Bygd
            2025 / 2026
          </t>
  </si>
  <si>
    <t>Á Mýratrøðni 380 Sørvágur</t>
  </si>
  <si>
    <t>mratrni380srvgur</t>
  </si>
  <si>
    <t>https://betriheim.cdn.fo/savn/lnqb3yma/2-4-ur-koekinum.jpg?width=400&amp;height=233&amp;rmode=max&amp;quality=50&amp;t=156&amp;s=Fz-IaW1vBFCzB0XoZKxqIjEkFlo</t>
  </si>
  <si>
    <t xml:space="preserve">Bygd
            2025/2026
          </t>
  </si>
  <si>
    <t>Rituvíkarvegur 16 640 Rituvík</t>
  </si>
  <si>
    <t>rituvkarvegur16640rituvk</t>
  </si>
  <si>
    <t>https://betriheim.cdn.fo/savn/4dsbhate/1.jpg?width=400&amp;height=233&amp;rmode=max&amp;quality=50&amp;t=90&amp;s=161X2mRCUe4jLgy-0zfxflUIMMs</t>
  </si>
  <si>
    <t xml:space="preserve">Bygd
            1953
          </t>
  </si>
  <si>
    <t>Djóna í Geil Gøta 31 100 Tórshavn</t>
  </si>
  <si>
    <t>djnageilgta31100trshavn</t>
  </si>
  <si>
    <t>https://betriheim.cdn.fo/savn/4h1ffhqa/a-1.jpg?width=400&amp;height=233&amp;rmode=max&amp;quality=50&amp;t=153&amp;s=Z5tEQNm5gCKmQjPZ-zk81p-Nu4E</t>
  </si>
  <si>
    <t xml:space="preserve">Bygd
            1951
          </t>
  </si>
  <si>
    <t>Torvgøta 31E 700 Klaksvík</t>
  </si>
  <si>
    <t>torvgta31e700klaksvk</t>
  </si>
  <si>
    <t>https://betriheim.cdn.fo/savn/uyknpusr/1.jpg?width=400&amp;height=233&amp;rmode=max&amp;quality=50&amp;t=60&amp;s=zdc-iwuLqt9TS1r03BsOsLzQqFs</t>
  </si>
  <si>
    <t xml:space="preserve">Bygd
            2023/2024
          </t>
  </si>
  <si>
    <t>Niðri í Túni 2 475 Funningur</t>
  </si>
  <si>
    <t>niritni2475funningur</t>
  </si>
  <si>
    <t>https://betriheim.cdn.fo/savn/tkshuedx/1.jpg?width=400&amp;height=233&amp;rmode=max&amp;quality=50&amp;t=43&amp;s=D5vIRBiCVs_3bWlQjWlYQHTQ7go</t>
  </si>
  <si>
    <t>Hoygarðsvegur 38 750 Viðareiði</t>
  </si>
  <si>
    <t>hoygarsvegur38750viareii</t>
  </si>
  <si>
    <t>https://betriheim.cdn.fo/savn/jhdpr1nu/1.jpg?width=400&amp;height=233&amp;rmode=max&amp;quality=50&amp;t=401&amp;s=oT2xVPRd2ZL4xbPFGMKLcKLe6Fo</t>
  </si>
  <si>
    <t>Undir Kongavarða 7C 160 Argir</t>
  </si>
  <si>
    <t>undirkongavara7c160argir</t>
  </si>
  <si>
    <t>https://betriheim.cdn.fo/savn/fq0bcner/1.jpg?width=400&amp;height=233&amp;rmode=max&amp;quality=50&amp;t=31&amp;s=o2h3bV0QwP9n1-Z1kgnlEvR08Mg</t>
  </si>
  <si>
    <t>Kovalág 7 100 Tórshavn</t>
  </si>
  <si>
    <t>kovalg7100trshavn</t>
  </si>
  <si>
    <t>https://betriheim.cdn.fo/savn/1nyjyfce/1.jpg?width=400&amp;height=233&amp;rmode=max&amp;quality=50&amp;t=114&amp;s=z0w35n0tYZ02MGJXr5m5gTlPJJ4</t>
  </si>
  <si>
    <t xml:space="preserve">Bygd
            1971
          </t>
  </si>
  <si>
    <t>Jóannesar Paturssonargøta 64 100 Tórshavn</t>
  </si>
  <si>
    <t>jannesarpaturssonargta64100trshavn</t>
  </si>
  <si>
    <t>https://betriheim.cdn.fo/savn/cxjnyhdi/a-1.jpg?width=400&amp;height=233&amp;rmode=max&amp;quality=50&amp;t=118&amp;s=n2Q_6qGgTYkdDl5_N0VV_olEsyk</t>
  </si>
  <si>
    <t xml:space="preserve">Bygd
            1969
          </t>
  </si>
  <si>
    <t>Dalatrøð 8, Tórshavn 100 Tórshavn</t>
  </si>
  <si>
    <t>dalatr8trshavn100trshavn</t>
  </si>
  <si>
    <t>https://betriheim.cdn.fo/savn/fk2dgjxc/1.jpg?width=400&amp;height=233&amp;rmode=max&amp;quality=50&amp;t=16&amp;s=PIp8r0Y5CIR3FB7-BEV7EX5KkTk</t>
  </si>
  <si>
    <t>Havnargøta 350 Vestmanna</t>
  </si>
  <si>
    <t>havnargta350vestmanna</t>
  </si>
  <si>
    <t>https://betriheim.cdn.fo/savn/hlti4cdw/3_innanifra_20250616-ibud-hjartvard_laettar-gardinur.jpg?width=400&amp;height=233&amp;rmode=max&amp;quality=50&amp;t=23&amp;s=6Y9NrBXS5wlGNSerO2kB6DOICWM</t>
  </si>
  <si>
    <t>Villingadalsvegur 6 100 Tórshavn</t>
  </si>
  <si>
    <t>villingadalsvegur6100trshavn</t>
  </si>
  <si>
    <t>https://betriheim.cdn.fo/savn/hlbbiw4w/a-1.jpg?width=400&amp;height=233&amp;rmode=max&amp;quality=50&amp;t=59&amp;s=9vVoHqu3LPOeEwp4BtcK-zP_jKY</t>
  </si>
  <si>
    <t xml:space="preserve">Bygd
            uml 1983
          </t>
  </si>
  <si>
    <t>Ovari Vegur 37 335 Leynar</t>
  </si>
  <si>
    <t>ovarivegur37335leynar</t>
  </si>
  <si>
    <t>https://betriheim.cdn.fo/savn/sgrovyma/1.jpg?width=400&amp;height=233&amp;rmode=max&amp;quality=50&amp;t=108&amp;s=FQvXyrLtk_aA26hiViCVe-YKMzw</t>
  </si>
  <si>
    <t xml:space="preserve">Bygd
            1991
          </t>
  </si>
  <si>
    <t>Lynggøta 14 826 Trongisvágur</t>
  </si>
  <si>
    <t>lynggta14826trongisvgur</t>
  </si>
  <si>
    <t>https://betriheim.cdn.fo/savn/2mwaqqbl/2.jpg?width=400&amp;height=233&amp;rmode=max&amp;quality=50&amp;t=9939275&amp;s=gEJpfezk3NKz_RFHYYX72wLB1qU</t>
  </si>
  <si>
    <t>Skálavegur 187 480 Skála</t>
  </si>
  <si>
    <t>sklavegur187480skla</t>
  </si>
  <si>
    <t>https://betriheim.cdn.fo/savn/x5lpi1jw/1.jpg?width=400&amp;height=233&amp;rmode=max&amp;quality=50&amp;t=453&amp;s=NvWKrlmCiWNVJJAcf6Voy2fN-8I</t>
  </si>
  <si>
    <t xml:space="preserve">Bygd
            1956
          </t>
  </si>
  <si>
    <t>Havnargøta, íbúð 2 350 Vestmanna</t>
  </si>
  <si>
    <t>havnargtab2350vestmanna</t>
  </si>
  <si>
    <t>Havnargøta, íbúð 1 350 Vestmanna</t>
  </si>
  <si>
    <t>havnargtab1350vestmanna</t>
  </si>
  <si>
    <t>Lygnesvegur 10 660 Søldarfjørður</t>
  </si>
  <si>
    <t>lygnesvegur10660sldarfjrur</t>
  </si>
  <si>
    <t>https://betriheim.cdn.fo/savn/cyjfzzn3/a-1.jpg?width=400&amp;height=233&amp;rmode=max&amp;quality=50&amp;t=136&amp;s=wVDHYPGyKu2mF86P3ePfsglZXlw</t>
  </si>
  <si>
    <t>Galdandi til 14-10-2025, kl 15.00</t>
  </si>
  <si>
    <t>Karlamagnusarbreyt 9B, 2.2 188 Hoyvík</t>
  </si>
  <si>
    <t>karlamagnusarbreyt9b22188hoyvk</t>
  </si>
  <si>
    <t>https://betriheim.cdn.fo/savn/5kqjhhmo/a.jpg?width=400&amp;height=233&amp;rmode=max&amp;quality=50&amp;t=73&amp;s=oDrnfxAXpp1OUJ36EFUS2uelqGk</t>
  </si>
  <si>
    <t>Matr. nr. 237b 478 Elduvík</t>
  </si>
  <si>
    <t>matrnr237b478elduvk</t>
  </si>
  <si>
    <t>https://betriheim.cdn.fo/savn/3f5nj0vu/1.jpg?width=400&amp;height=233&amp;rmode=max&amp;quality=50&amp;t=199&amp;s=tPZruVFXZtHopw2OnZSmFd-a8To</t>
  </si>
  <si>
    <t>Hornagøta 15 100 Tórshavn</t>
  </si>
  <si>
    <t>hornagta15100trshavn</t>
  </si>
  <si>
    <t>https://betriheim.cdn.fo/savn/mvbdd3fn/2.jpg?width=400&amp;height=233&amp;rmode=max&amp;quality=50&amp;t=4543&amp;s=TRLTi6rsUP4mkbrZsjg9-9IRyxI</t>
  </si>
  <si>
    <t xml:space="preserve">Bygd
            1957/1968
          </t>
  </si>
  <si>
    <t>Maritugøta 117H 188 Hoyvík</t>
  </si>
  <si>
    <t>maritugta117h188hoyvk</t>
  </si>
  <si>
    <t>https://betriheim.cdn.fo/savn/fgxffbgf/a.jpg?width=400&amp;height=233&amp;rmode=max&amp;quality=50&amp;t=118&amp;s=cCXvB6itE0_Nt-P9gwvD45pvqew</t>
  </si>
  <si>
    <t>Hoydalsvegur 22, Tórshavn 100 Tórshavn</t>
  </si>
  <si>
    <t>hoydalsvegur22trshavn100trshavn</t>
  </si>
  <si>
    <t>https://betriheim.cdn.fo/savn/r03lrgt5/1.jpg?width=400&amp;height=233&amp;rmode=max&amp;quality=50&amp;t=57&amp;s=YWiaq4s6_oPLy8curKPFqJOe-0U</t>
  </si>
  <si>
    <t xml:space="preserve">Bygd
            1940
          </t>
  </si>
  <si>
    <t>Tórsgøta 36 100 Tórshavn</t>
  </si>
  <si>
    <t>trsgta36100trshavn</t>
  </si>
  <si>
    <t>https://betriheim.cdn.fo/savn/nnjmivsm/1.jpg?width=400&amp;height=233&amp;rmode=max&amp;quality=50&amp;t=127&amp;s=NiHH5YZ5By3A1tvgAbIwue_Attw</t>
  </si>
  <si>
    <t xml:space="preserve">Bygd
            1914
          </t>
  </si>
  <si>
    <t>Ravnsoyargøta 4A, Tórshavn 100 Tórshavn</t>
  </si>
  <si>
    <t>ravnsoyargta4atrshavn100trshavn</t>
  </si>
  <si>
    <t>https://betriheim.cdn.fo/savn/defnb5bn/19.jpg?width=400&amp;height=233&amp;rmode=max&amp;quality=50&amp;t=257&amp;s=rLxO0nofrrhsDC9E3x8jAJEm4S0</t>
  </si>
  <si>
    <t xml:space="preserve">Bygd
            1989
          </t>
  </si>
  <si>
    <t>Varðabyrgi 6 100 Tórshavn</t>
  </si>
  <si>
    <t>varabyrgi6100trshavn</t>
  </si>
  <si>
    <t>https://betriheim.cdn.fo/savn/05nfld5v/a-1.jpg?width=400&amp;height=233&amp;rmode=max&amp;quality=50&amp;t=230&amp;s=aH2mVM_wSBJwzUjfPZbo6HRHscM</t>
  </si>
  <si>
    <t>Íslandsvegur 41 100 Tórshavn</t>
  </si>
  <si>
    <t>slandsvegur41100trshavn</t>
  </si>
  <si>
    <t>https://betriheim.cdn.fo/savn/ia1e3ymc/1.jpg?width=400&amp;height=233&amp;rmode=max&amp;quality=50&amp;t=82&amp;s=nKSV0qSyvD6MoLXSsXWD5d3e5DI</t>
  </si>
  <si>
    <t xml:space="preserve">Bygd
            1965
          </t>
  </si>
  <si>
    <t>Undir Hválinum 8 800 Tvøroyri</t>
  </si>
  <si>
    <t>undirhvlinum8800tvroyri</t>
  </si>
  <si>
    <t>https://betriheim.cdn.fo/savn/jhrfp5by/1.jpg?width=400&amp;height=233&amp;rmode=max&amp;quality=50&amp;t=1379&amp;s=ueAylxoa9rdkl379kTJt99nhHBE</t>
  </si>
  <si>
    <t>Skúlavegur 490 Strendur</t>
  </si>
  <si>
    <t>sklavegur490strendur</t>
  </si>
  <si>
    <t>https://betriheim.cdn.fo/savn/ucne1yse/davagerdi-2.jpg?width=400&amp;height=233&amp;rmode=max&amp;quality=50&amp;t=16&amp;s=48_JoqtVl9NVvlDuCFjAIAr1UUw</t>
  </si>
  <si>
    <t xml:space="preserve">Bygd
            2026
          </t>
  </si>
  <si>
    <t>Niðaragøta 120 188 Hoyvík</t>
  </si>
  <si>
    <t>niaragta120188hoyvk</t>
  </si>
  <si>
    <t>https://betriheim.cdn.fo/savn/2e1e1nko/a-4.jpg?width=400&amp;height=233&amp;rmode=max&amp;quality=50&amp;t=640&amp;s=Okg9e_tG0RAsuZqruhURmJbtoC4</t>
  </si>
  <si>
    <t>Galdandi til 02-12-2025, kl 11:00</t>
  </si>
  <si>
    <t xml:space="preserve">Bygd
            1993
          </t>
  </si>
  <si>
    <t>Mylnuvegur 6 466 Ljósá</t>
  </si>
  <si>
    <t>Ljósá</t>
  </si>
  <si>
    <t>mylnuvegur6466ljs</t>
  </si>
  <si>
    <t>https://betriheim.cdn.fo/savn/ap5hidj0/1.jpg?width=400&amp;height=233&amp;rmode=max&amp;quality=50&amp;s=ujYaCZeLmK4K1BGP0GR0uAJUCWU</t>
  </si>
  <si>
    <t>Matr. 52b 380 Sørvágur</t>
  </si>
  <si>
    <t>matr52b380srvgur</t>
  </si>
  <si>
    <t>https://betriheim.cdn.fo/savn/qerdaupm/1.jpg?width=400&amp;height=233&amp;rmode=max&amp;quality=50&amp;s=TVKTmh98SxL8kNaLS1_BwyOeqbw</t>
  </si>
  <si>
    <t xml:space="preserve">Bygd
            1979
          </t>
  </si>
  <si>
    <t>Oyggjarvegur 44 1.1 100 Tórshavn</t>
  </si>
  <si>
    <t>oyggjarvegur4411100trshavn</t>
  </si>
  <si>
    <t>https://betriheim.cdn.fo/savn/up4jmua1/1-1.jpg?width=400&amp;height=233&amp;rmode=max&amp;quality=50&amp;s=_CnviuarkmAZLvLHxDnW9bAYDFc</t>
  </si>
  <si>
    <t xml:space="preserve">Bygd
            2023
          </t>
  </si>
  <si>
    <t>Heimasta Horn 26, 4.3 100 Tórshavn</t>
  </si>
  <si>
    <t>heimastahorn2643100trshavn</t>
  </si>
  <si>
    <t>https://betriheim.cdn.fo/savn/zrylguve/a-1.jpg?width=400&amp;height=233&amp;rmode=max&amp;quality=50&amp;t=59&amp;s=XHCDdg2562sW_4VaVkhjGJI_2Mo</t>
  </si>
  <si>
    <t xml:space="preserve">Bygd
            2012
          </t>
  </si>
  <si>
    <t>Lágarvegur 22 490 Strendur</t>
  </si>
  <si>
    <t>lgarvegur22490strendur</t>
  </si>
  <si>
    <t>https://betriheim.cdn.fo/savn/zytfe40q/1.jpg?width=400&amp;height=233&amp;rmode=max&amp;quality=50&amp;t=127&amp;s=799QcnzHIQtR2ZsNMnZt300QKrg</t>
  </si>
  <si>
    <t>Kirkjugøta 20 440 Haldórsvík</t>
  </si>
  <si>
    <t>Haldórsvík</t>
  </si>
  <si>
    <t>kirkjugta20440haldrsvk</t>
  </si>
  <si>
    <t>https://betriheim.cdn.fo/savn/ftnecrgb/a-1.jpg?width=400&amp;height=233&amp;rmode=max&amp;quality=50&amp;t=402&amp;s=LPkbNH3kMV4Cz_0s7mr1oTzvYcw</t>
  </si>
  <si>
    <t xml:space="preserve">Bygd
            Ikki upplýst
          </t>
  </si>
  <si>
    <t>á Brúgv 17 388 Mykines</t>
  </si>
  <si>
    <t>Mykines</t>
  </si>
  <si>
    <t>brgv17388mykines</t>
  </si>
  <si>
    <t>https://betriheim.cdn.fo/savn/krfftksk/01.jpg?width=400&amp;height=233&amp;rmode=max&amp;quality=50&amp;t=108&amp;s=prhaKN9vsGn7HJzDFWDrc1xgPtQ</t>
  </si>
  <si>
    <t xml:space="preserve">Bygd
            1919
          </t>
  </si>
  <si>
    <t>Eyrgøta 4 490 Strendur</t>
  </si>
  <si>
    <t>eyrgta4490strendur</t>
  </si>
  <si>
    <t>https://betriheim.cdn.fo/savn/tflnneo3/1.jpg?width=400&amp;height=233&amp;rmode=max&amp;quality=50&amp;t=101&amp;s=O1ZuQ1nF9k3QiZH42Bez0VqZRbQ</t>
  </si>
  <si>
    <t xml:space="preserve">Bygd
            1922
          </t>
  </si>
  <si>
    <t>Matr. 216b og 216c 800 Tvøroyri</t>
  </si>
  <si>
    <t>matr216bog216c800tvroyri</t>
  </si>
  <si>
    <t>https://betriheim.cdn.fo/savn/u5hd2w5n/matr-216b-og-216c.jpg?width=400&amp;height=233&amp;rmode=max&amp;quality=50&amp;s=tnC-lwG3umKfVvUQDRhqeMUM-b0</t>
  </si>
  <si>
    <t>Matr. 215 800 Tvøroyri</t>
  </si>
  <si>
    <t>matr215800tvroyri</t>
  </si>
  <si>
    <t>https://betriheim.cdn.fo/savn/ztqfe2hu/matr-215.jpg?width=400&amp;height=233&amp;rmode=max&amp;quality=50&amp;t=12&amp;s=_E_SrOhfCK0ayvUo50pJS2D7sGc</t>
  </si>
  <si>
    <t>Matr. 121 826 Trongisvágur</t>
  </si>
  <si>
    <t>matr121826trongisvgur</t>
  </si>
  <si>
    <t>https://betriheim.cdn.fo/savn/entowocz/matr-121.jpg?width=400&amp;height=233&amp;rmode=max&amp;quality=50&amp;t=14&amp;s=_cllg-KLl3gnVwFhEjydJrFZtU0</t>
  </si>
  <si>
    <t>Matr. 699 800 Tvøroyri</t>
  </si>
  <si>
    <t>matr699800tvroyri</t>
  </si>
  <si>
    <t>https://betriheim.cdn.fo/savn/adyphdmf/matr-699.jpg?width=400&amp;height=233&amp;rmode=max&amp;quality=50&amp;t=13&amp;s=2N1sLqo0p7nMf0Mc6T7XV-mqwCw</t>
  </si>
  <si>
    <t>Heygsgerði 9 100 Tórshavn</t>
  </si>
  <si>
    <t>heygsgeri9100trshavn</t>
  </si>
  <si>
    <t>https://betriheim.cdn.fo/savn/oqyn0v4a/a-1.jpg?width=400&amp;height=233&amp;rmode=max&amp;quality=50&amp;t=417&amp;s=idi1oXnl_2BNg9GUHdamf1ogj-U</t>
  </si>
  <si>
    <t>Oyggjarvegur 42, 1.5, 100 Tórshavn</t>
  </si>
  <si>
    <t>oyggjarvegur4215100trshavn</t>
  </si>
  <si>
    <t>https://betriheim.cdn.fo/savn/gygj1gf1/01.jpg?width=400&amp;height=233&amp;rmode=max&amp;quality=50&amp;t=56&amp;s=C58E48zYbuU_irixAPSFqhM_fVA</t>
  </si>
  <si>
    <t>Galdandi til 18-02-2026, kl 10:00</t>
  </si>
  <si>
    <t>Matr. nr. 11e 785 Haraldssund</t>
  </si>
  <si>
    <t>Haraldssund</t>
  </si>
  <si>
    <t>matrnr11e785haraldssund</t>
  </si>
  <si>
    <t>https://betriheim.cdn.fo/savn/ky1pjjmj/1.jpg?width=400&amp;height=233&amp;rmode=max&amp;quality=50&amp;t=266&amp;s=MhZHuHh0dMa3TiyL8d-PsehwjII</t>
  </si>
  <si>
    <t>Geilin 11 494 Innan Glyvur</t>
  </si>
  <si>
    <t>Innan Glyvur</t>
  </si>
  <si>
    <t>geilin11494innanglyvur</t>
  </si>
  <si>
    <t>https://betriheim.cdn.fo/savn/0alltdcf/01.jpg?width=400&amp;height=233&amp;rmode=max&amp;quality=50&amp;t=70&amp;s=VILkLMDJNG8JrjP2Pvzj41Y2fwk</t>
  </si>
  <si>
    <t xml:space="preserve">Bygd
            2008
          </t>
  </si>
  <si>
    <t>Regnavegur 7 520 Leirvík</t>
  </si>
  <si>
    <t>regnavegur7520leirvk</t>
  </si>
  <si>
    <t>https://betriheim.cdn.fo/savn/xsgllica/1.jpg?width=400&amp;height=233&amp;rmode=max&amp;quality=50&amp;t=189&amp;s=baxksDqaDoaojtkfbWoFUF4XkXI</t>
  </si>
  <si>
    <t>Galdandi til 23-02-2026, kl 10.00</t>
  </si>
  <si>
    <t xml:space="preserve">Bygd
            1920/2024
          </t>
  </si>
  <si>
    <t>Mylnuvegur 8 466 Ljósá</t>
  </si>
  <si>
    <t>mylnuvegur8466ljs</t>
  </si>
  <si>
    <t>https://betriheim.cdn.fo/savn/cccfxr5k/01.jpg?width=400&amp;height=233&amp;rmode=max&amp;quality=50&amp;t=89&amp;s=5xmYfYTtKVAYvJsXLlg9jLt04YY</t>
  </si>
  <si>
    <t>Rituvíkarvegur 79 640 Rituvík</t>
  </si>
  <si>
    <t>rituvkarvegur79640rituvk</t>
  </si>
  <si>
    <t>https://betriheim.cdn.fo/savn/sqfpee4n/01.jpg?width=400&amp;height=233&amp;rmode=max&amp;quality=50&amp;t=52&amp;s=va6qAB5x1VgMPku7RWKa6cuRyqg</t>
  </si>
  <si>
    <t>Lambavegur 10 627 Lamba</t>
  </si>
  <si>
    <t>Lamba</t>
  </si>
  <si>
    <t>lambavegur10627lamba</t>
  </si>
  <si>
    <t>https://betriheim.cdn.fo/savn/c4dlenqj/1.jpg?width=400&amp;height=233&amp;rmode=max&amp;quality=50&amp;t=61&amp;s=H2TxID2W6FmrjNc2hDGnyntbZlY</t>
  </si>
  <si>
    <t>Galdandi til 24-02-2026, kl 11:00</t>
  </si>
  <si>
    <t xml:space="preserve">Bygd
            1905
          </t>
  </si>
  <si>
    <t>Fløtuvegur 10 490 Strendur</t>
  </si>
  <si>
    <t>fltuvegur10490strendur</t>
  </si>
  <si>
    <t>https://betriheim.cdn.fo/savn/1mlfndqs/1-2.jpg?width=400&amp;height=233&amp;rmode=max&amp;quality=50&amp;t=42&amp;s=7kTMpG15dso1KPucJdKFk_AClGU</t>
  </si>
  <si>
    <t xml:space="preserve">Bygd
            1938
          </t>
  </si>
  <si>
    <t>Karlamagnusarbreyt 42, 0.5 188 Hoyvík</t>
  </si>
  <si>
    <t>karlamagnusarbreyt4205188hoyvk</t>
  </si>
  <si>
    <t>https://betriheim.cdn.fo/savn/cqxnhhlp/7.jpg?width=400&amp;height=233&amp;rmode=max&amp;quality=50&amp;t=1473389&amp;s=0pqcsbmg8mNW_iIFP3fy-kS3HVA</t>
  </si>
  <si>
    <t xml:space="preserve">Bygd
            2019
          </t>
  </si>
  <si>
    <t>Karlotsgøta 4 188 Hoyvík</t>
  </si>
  <si>
    <t>karlotsgta4188hoyvk</t>
  </si>
  <si>
    <t>https://betriheim.cdn.fo/savn/rmhj4gzi/1.jpg?width=400&amp;height=233&amp;rmode=max&amp;quality=50&amp;t=83&amp;s=yJxXJU86iWf2IXRCfHeOoWaArQY</t>
  </si>
  <si>
    <t xml:space="preserve">Bygd
            2011
          </t>
  </si>
  <si>
    <t>Sjóvartún 10 350 Vestmanna</t>
  </si>
  <si>
    <t>sjvartn10350vestmanna</t>
  </si>
  <si>
    <t>https://betriheim.cdn.fo/savn/p3tkss03/1.jpg?width=400&amp;height=233&amp;rmode=max&amp;quality=50&amp;t=30&amp;s=CUQKlRDC_ksPheqhiQuRxYCClHA</t>
  </si>
  <si>
    <t>Sleipnisgøta 16 100 Tórshavn</t>
  </si>
  <si>
    <t>sleipnisgta16100trshavn</t>
  </si>
  <si>
    <t>https://betriheim.cdn.fo/savn/3uypyeln/1.jpg?width=400&amp;height=233&amp;rmode=max&amp;quality=50&amp;t=45&amp;s=0nwNMdNibYQJ18y3wqRz0wQzrS4</t>
  </si>
  <si>
    <t>Eystan Garð 5D 700 Klaksvík</t>
  </si>
  <si>
    <t>eystangar5d700klaksvk</t>
  </si>
  <si>
    <t>https://betriheim.cdn.fo/savn/y44p2qhj/1.jpg?width=400&amp;height=233&amp;rmode=max&amp;quality=50&amp;t=84&amp;s=E-7Rw6TWK-z8qx46dPqm7IT5M04</t>
  </si>
  <si>
    <t>Ennivegur 75 530 Fuglafjørður</t>
  </si>
  <si>
    <t>ennivegur75530fuglafjrur</t>
  </si>
  <si>
    <t>https://betriheim.cdn.fo/savn/hlthbk3o/1-2.jpg?width=400&amp;height=233&amp;rmode=max&amp;quality=50&amp;t=68&amp;s=iiWXyV_hX7PbuPcEN7NeumzCCCk</t>
  </si>
  <si>
    <t xml:space="preserve">Bygd
            1961
          </t>
  </si>
  <si>
    <t>daysOpen</t>
  </si>
  <si>
    <t>daysUntilSold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</si>
</sst>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43" fontId="2" fillId="0" borderId="0" xfId="1" applyFont="1"/>
  </cellXfs>
  <cellStyles count="2">
    <cellStyle name="Comma" xfId="1" builtinId="3"/>
    <cellStyle name="Normal" xfId="0" builtinId="0"/>
  </cellStyles>
  <dxfs count="4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8D64B2-64B8-4A70-ABED-5576C4453AE6}" autoFormatId="16" applyNumberFormats="0" applyBorderFormats="0" applyFontFormats="0" applyPatternFormats="0" applyAlignmentFormats="0" applyWidthHeightFormats="0">
  <queryTableRefresh nextId="26" unboundColumnsRight="2">
    <queryTableFields count="25">
      <queryTableField id="1" name="addedDate" tableColumnId="1"/>
      <queryTableField id="2" name="address" tableColumnId="2"/>
      <queryTableField id="3" name="agent" tableColumnId="3"/>
      <queryTableField id="4" name="archivedDate" tableColumnId="4"/>
      <queryTableField id="5" name="city" tableColumnId="5"/>
      <queryTableField id="6" name="floors" tableColumnId="6"/>
      <queryTableField id="7" name="id" tableColumnId="7"/>
      <queryTableField id="8" name="img" tableColumnId="8"/>
      <queryTableField id="9" name="insideM2" tableColumnId="9"/>
      <queryTableField id="10" name="landM2" tableColumnId="10"/>
      <queryTableField id="11" name="latestOffer" tableColumnId="11"/>
      <queryTableField id="12" name="previousPrices" tableColumnId="12"/>
      <queryTableField id="13" name="price" tableColumnId="13"/>
      <queryTableField id="14" name="rooms" tableColumnId="14"/>
      <queryTableField id="15" name="status" tableColumnId="15"/>
      <queryTableField id="16" name="type" tableColumnId="16"/>
      <queryTableField id="17" name="validDate" tableColumnId="17"/>
      <queryTableField id="18" name="website" tableColumnId="18"/>
      <queryTableField id="19" name="yearBuilt" tableColumnId="19"/>
      <queryTableField id="20" name="offerM2In" tableColumnId="20"/>
      <queryTableField id="21" name="offerM2Out" tableColumnId="21"/>
      <queryTableField id="22" name="priceM2In" tableColumnId="22"/>
      <queryTableField id="23" name="priceM2Out" tableColumnId="23"/>
      <queryTableField id="24" dataBound="0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CA87D-C947-4B61-9934-7B0EE0B679B4}" name="properties" displayName="properties" ref="A1:Y481" tableType="queryTable" totalsRowShown="0">
  <autoFilter ref="A1:Y481" xr:uid="{BE7CA87D-C947-4B61-9934-7B0EE0B679B4}"/>
  <tableColumns count="25">
    <tableColumn id="1" xr3:uid="{22CB9126-4144-43AB-BCDB-58539BB2FE21}" uniqueName="1" name="addedDate" queryTableFieldId="1" dataDxfId="1"/>
    <tableColumn id="2" xr3:uid="{AFD2FD24-F11D-4778-9BD3-F9180D3E4EFF}" uniqueName="2" name="address" queryTableFieldId="2"/>
    <tableColumn id="3" xr3:uid="{5FADC789-C319-4BED-BEE0-48ADF671ACE8}" uniqueName="3" name="agent" queryTableFieldId="3"/>
    <tableColumn id="4" xr3:uid="{EAFA5772-3A93-4FB7-8E6B-646D0C386A20}" uniqueName="4" name="archivedDate" queryTableFieldId="4" dataDxfId="0"/>
    <tableColumn id="5" xr3:uid="{F84198DC-F7C2-4B96-A453-514C0F4067C0}" uniqueName="5" name="city" queryTableFieldId="5"/>
    <tableColumn id="6" xr3:uid="{3E09C054-0B32-4939-AB89-4C89217DC4B5}" uniqueName="6" name="floors" queryTableFieldId="6"/>
    <tableColumn id="7" xr3:uid="{9202CD34-6F69-4403-AFE6-BE1FDC551830}" uniqueName="7" name="id" queryTableFieldId="7"/>
    <tableColumn id="8" xr3:uid="{C644661D-EE7F-488E-9D50-F370A5E25CC5}" uniqueName="8" name="img" queryTableFieldId="8"/>
    <tableColumn id="9" xr3:uid="{47D41514-68CA-4DB9-8F91-2CAD6368203E}" uniqueName="9" name="insideM2" queryTableFieldId="9"/>
    <tableColumn id="10" xr3:uid="{BDB7EEB5-02AB-44F5-85F3-9CD76FA0A18A}" uniqueName="10" name="landM2" queryTableFieldId="10"/>
    <tableColumn id="11" xr3:uid="{4B8DDFD4-66CB-49B9-848F-6C634F35B462}" uniqueName="11" name="latestOffer" queryTableFieldId="11"/>
    <tableColumn id="12" xr3:uid="{A662CCCB-36A7-49AD-8222-FCE7D66E0EFA}" uniqueName="12" name="previousPrices" queryTableFieldId="12"/>
    <tableColumn id="13" xr3:uid="{D4CF7FC6-07D8-46E4-9D17-EDB863037D8E}" uniqueName="13" name="price" queryTableFieldId="13"/>
    <tableColumn id="14" xr3:uid="{D06D4B9C-835B-4112-98F2-55B3C79A7DD6}" uniqueName="14" name="rooms" queryTableFieldId="14"/>
    <tableColumn id="15" xr3:uid="{E0B662BA-971F-4C0A-BE77-2F5460A84AF9}" uniqueName="15" name="status" queryTableFieldId="15"/>
    <tableColumn id="16" xr3:uid="{BD289C68-9F59-4115-ADDC-E7AD53D0D8B2}" uniqueName="16" name="type" queryTableFieldId="16"/>
    <tableColumn id="17" xr3:uid="{8FB9B5A7-011C-4299-9F1F-7D4AB6BFBA36}" uniqueName="17" name="validDate" queryTableFieldId="17"/>
    <tableColumn id="18" xr3:uid="{AC4A6707-8FAC-4448-8213-99F50A384F9C}" uniqueName="18" name="website" queryTableFieldId="18"/>
    <tableColumn id="19" xr3:uid="{5F781887-4371-4A25-9150-D1B6D701183D}" uniqueName="19" name="yearBuilt" queryTableFieldId="19"/>
    <tableColumn id="20" xr3:uid="{C5EB958B-A844-4DDC-917D-A7A84ED919D9}" uniqueName="20" name="offerM2In" queryTableFieldId="20"/>
    <tableColumn id="21" xr3:uid="{81F99CB4-CE69-4BEF-9D9B-7D1DDE7C5552}" uniqueName="21" name="offerM2Out" queryTableFieldId="21"/>
    <tableColumn id="22" xr3:uid="{A3F38D3C-4CEC-44B1-A46D-E28C231B0364}" uniqueName="22" name="priceM2In" queryTableFieldId="22"/>
    <tableColumn id="23" xr3:uid="{CEFB6C79-22B4-498B-91AE-7506569E8CA0}" uniqueName="23" name="priceM2Out" queryTableFieldId="23"/>
    <tableColumn id="24" xr3:uid="{761667D1-EA56-4D87-AF38-6A94EC2C90DA}" uniqueName="24" name="daysOpen" queryTableFieldId="24" dataDxfId="3">
      <calculatedColumnFormula>IF(ISNUMBER(properties[[#This Row],[archivedDate]]),properties[[#This Row],[archivedDate]]-properties[[#This Row],[addedDate]],TODAY()-properties[[#This Row],[addedDate]])</calculatedColumnFormula>
    </tableColumn>
    <tableColumn id="25" xr3:uid="{8E4407F8-9CD9-4C99-B865-A4181A8F62D5}" uniqueName="25" name="daysUntilSold" queryTableFieldId="25" dataDxfId="2">
      <calculatedColumnFormula>IF(ISNUMBER(properties[[#This Row],[archivedDate]]),properties[[#This Row],[archivedDate]]-properties[[#This Row],[addedDate]],TODAY()-properties[[#This Row],[addedDate]])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C877-6E6E-4D6A-B972-648ED8CC1633}">
  <dimension ref="A1:Y481"/>
  <sheetViews>
    <sheetView topLeftCell="L181" workbookViewId="0">
      <selection activeCell="U4" sqref="U4"/>
    </sheetView>
  </sheetViews>
  <sheetFormatPr defaultRowHeight="15" x14ac:dyDescent="0.25"/>
  <cols>
    <col min="1" max="1" width="13" bestFit="1" customWidth="1"/>
    <col min="2" max="2" width="39.85546875" bestFit="1" customWidth="1"/>
    <col min="3" max="3" width="8.85546875" bestFit="1" customWidth="1"/>
    <col min="4" max="4" width="15" bestFit="1" customWidth="1"/>
    <col min="5" max="5" width="16.140625" bestFit="1" customWidth="1"/>
    <col min="6" max="6" width="8.42578125" bestFit="1" customWidth="1"/>
    <col min="7" max="7" width="44" bestFit="1" customWidth="1"/>
    <col min="8" max="8" width="81.140625" bestFit="1" customWidth="1"/>
    <col min="9" max="9" width="11.5703125" bestFit="1" customWidth="1"/>
    <col min="10" max="10" width="10" bestFit="1" customWidth="1"/>
    <col min="11" max="11" width="13" bestFit="1" customWidth="1"/>
    <col min="12" max="12" width="16.42578125" bestFit="1" customWidth="1"/>
    <col min="13" max="13" width="9" bestFit="1" customWidth="1"/>
    <col min="14" max="14" width="8.85546875" bestFit="1" customWidth="1"/>
    <col min="15" max="15" width="8.5703125" bestFit="1" customWidth="1"/>
    <col min="16" max="16" width="15.28515625" bestFit="1" customWidth="1"/>
    <col min="17" max="17" width="29.140625" bestFit="1" customWidth="1"/>
    <col min="18" max="18" width="24.7109375" bestFit="1" customWidth="1"/>
    <col min="19" max="19" width="29.42578125" bestFit="1" customWidth="1"/>
    <col min="20" max="20" width="12.28515625" bestFit="1" customWidth="1"/>
    <col min="21" max="21" width="13.85546875" bestFit="1" customWidth="1"/>
    <col min="22" max="22" width="12.28515625" bestFit="1" customWidth="1"/>
    <col min="23" max="23" width="13.85546875" bestFit="1" customWidth="1"/>
    <col min="24" max="24" width="12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1701</v>
      </c>
      <c r="Y1" t="s">
        <v>1702</v>
      </c>
    </row>
    <row r="2" spans="1:25" x14ac:dyDescent="0.25">
      <c r="A2" s="1">
        <v>45750</v>
      </c>
      <c r="B2" t="s">
        <v>23</v>
      </c>
      <c r="C2" t="s">
        <v>24</v>
      </c>
      <c r="D2" s="1"/>
      <c r="E2" t="s">
        <v>25</v>
      </c>
      <c r="F2">
        <v>1</v>
      </c>
      <c r="G2" t="s">
        <v>26</v>
      </c>
      <c r="H2" t="s">
        <v>27</v>
      </c>
      <c r="I2">
        <v>122</v>
      </c>
      <c r="J2">
        <v>1001</v>
      </c>
      <c r="K2">
        <v>2400000</v>
      </c>
      <c r="L2" t="s">
        <v>28</v>
      </c>
      <c r="M2">
        <v>2195000</v>
      </c>
      <c r="N2">
        <v>0</v>
      </c>
      <c r="O2" t="s">
        <v>29</v>
      </c>
      <c r="P2" t="s">
        <v>30</v>
      </c>
      <c r="Q2" t="s">
        <v>31</v>
      </c>
      <c r="R2" t="s">
        <v>24</v>
      </c>
      <c r="S2" t="s">
        <v>32</v>
      </c>
      <c r="T2">
        <v>19672.131147540982</v>
      </c>
      <c r="U2">
        <v>2397.6023976023976</v>
      </c>
      <c r="V2">
        <v>17991.803278688523</v>
      </c>
      <c r="W2">
        <v>2192.8071928071927</v>
      </c>
      <c r="X2">
        <f ca="1">IF(ISNUMBER(properties[[#This Row],[archivedDate]]),properties[[#This Row],[archivedDate]]-properties[[#This Row],[addedDate]],TODAY()-properties[[#This Row],[addedDate]])</f>
        <v>369</v>
      </c>
      <c r="Y2">
        <f ca="1">IF(ISNUMBER(properties[[#This Row],[archivedDate]]),properties[[#This Row],[archivedDate]]-properties[[#This Row],[addedDate]],TODAY()-properties[[#This Row],[addedDate]])</f>
        <v>369</v>
      </c>
    </row>
    <row r="3" spans="1:25" x14ac:dyDescent="0.25">
      <c r="A3" s="1">
        <v>45750</v>
      </c>
      <c r="B3" t="s">
        <v>33</v>
      </c>
      <c r="C3" t="s">
        <v>24</v>
      </c>
      <c r="D3" s="1"/>
      <c r="E3" t="s">
        <v>34</v>
      </c>
      <c r="F3">
        <v>3</v>
      </c>
      <c r="G3" t="s">
        <v>35</v>
      </c>
      <c r="H3" t="s">
        <v>36</v>
      </c>
      <c r="I3">
        <v>188</v>
      </c>
      <c r="J3">
        <v>349</v>
      </c>
      <c r="K3">
        <v>5100000</v>
      </c>
      <c r="L3" t="s">
        <v>28</v>
      </c>
      <c r="M3">
        <v>4500000</v>
      </c>
      <c r="N3">
        <v>0</v>
      </c>
      <c r="O3" t="s">
        <v>29</v>
      </c>
      <c r="P3" t="s">
        <v>30</v>
      </c>
      <c r="Q3" t="s">
        <v>37</v>
      </c>
      <c r="R3" t="s">
        <v>24</v>
      </c>
      <c r="S3" t="s">
        <v>38</v>
      </c>
      <c r="T3">
        <v>27127.659574468085</v>
      </c>
      <c r="U3">
        <v>14613.180515759312</v>
      </c>
      <c r="V3">
        <v>23936.170212765959</v>
      </c>
      <c r="W3">
        <v>12893.982808022922</v>
      </c>
      <c r="X3">
        <f ca="1">IF(ISNUMBER(properties[[#This Row],[archivedDate]]),properties[[#This Row],[archivedDate]]-properties[[#This Row],[addedDate]],TODAY()-properties[[#This Row],[addedDate]])</f>
        <v>369</v>
      </c>
      <c r="Y3">
        <f ca="1">IF(ISNUMBER(properties[[#This Row],[archivedDate]]),properties[[#This Row],[archivedDate]]-properties[[#This Row],[addedDate]],TODAY()-properties[[#This Row],[addedDate]])</f>
        <v>369</v>
      </c>
    </row>
    <row r="4" spans="1:25" x14ac:dyDescent="0.25">
      <c r="A4" s="1">
        <v>45750</v>
      </c>
      <c r="B4" t="s">
        <v>39</v>
      </c>
      <c r="C4" t="s">
        <v>24</v>
      </c>
      <c r="D4" s="1"/>
      <c r="E4" t="s">
        <v>40</v>
      </c>
      <c r="F4">
        <v>2</v>
      </c>
      <c r="G4" t="s">
        <v>41</v>
      </c>
      <c r="H4" t="s">
        <v>42</v>
      </c>
      <c r="I4">
        <v>155</v>
      </c>
      <c r="J4">
        <v>243</v>
      </c>
      <c r="K4">
        <v>0</v>
      </c>
      <c r="L4" t="s">
        <v>28</v>
      </c>
      <c r="M4">
        <v>1595000</v>
      </c>
      <c r="N4">
        <v>0</v>
      </c>
      <c r="O4" t="s">
        <v>29</v>
      </c>
      <c r="P4" t="s">
        <v>30</v>
      </c>
      <c r="Q4" t="s">
        <v>43</v>
      </c>
      <c r="R4" t="s">
        <v>24</v>
      </c>
      <c r="S4" t="s">
        <v>44</v>
      </c>
      <c r="V4">
        <v>10290.322580645161</v>
      </c>
      <c r="W4">
        <v>6563.7860082304524</v>
      </c>
      <c r="X4">
        <f ca="1">IF(ISNUMBER(properties[[#This Row],[archivedDate]]),properties[[#This Row],[archivedDate]]-properties[[#This Row],[addedDate]],TODAY()-properties[[#This Row],[addedDate]])</f>
        <v>369</v>
      </c>
      <c r="Y4">
        <f ca="1">IF(ISNUMBER(properties[[#This Row],[archivedDate]]),properties[[#This Row],[archivedDate]]-properties[[#This Row],[addedDate]],TODAY()-properties[[#This Row],[addedDate]])</f>
        <v>369</v>
      </c>
    </row>
    <row r="5" spans="1:25" x14ac:dyDescent="0.25">
      <c r="A5" s="1">
        <v>45750</v>
      </c>
      <c r="B5" t="s">
        <v>45</v>
      </c>
      <c r="C5" t="s">
        <v>24</v>
      </c>
      <c r="D5" s="1"/>
      <c r="E5" t="s">
        <v>46</v>
      </c>
      <c r="F5">
        <v>3</v>
      </c>
      <c r="G5" t="s">
        <v>47</v>
      </c>
      <c r="H5" t="s">
        <v>48</v>
      </c>
      <c r="I5">
        <v>127</v>
      </c>
      <c r="J5">
        <v>265</v>
      </c>
      <c r="K5">
        <v>3200000</v>
      </c>
      <c r="L5" t="s">
        <v>28</v>
      </c>
      <c r="M5">
        <v>2750000</v>
      </c>
      <c r="N5">
        <v>0</v>
      </c>
      <c r="O5" t="s">
        <v>29</v>
      </c>
      <c r="P5" t="s">
        <v>30</v>
      </c>
      <c r="Q5" t="s">
        <v>49</v>
      </c>
      <c r="R5" t="s">
        <v>24</v>
      </c>
      <c r="S5" t="s">
        <v>50</v>
      </c>
      <c r="T5">
        <v>25196.850393700788</v>
      </c>
      <c r="U5">
        <v>12075.471698113208</v>
      </c>
      <c r="V5">
        <v>21653.543307086613</v>
      </c>
      <c r="W5">
        <v>10377.358490566037</v>
      </c>
      <c r="X5">
        <f ca="1">IF(ISNUMBER(properties[[#This Row],[archivedDate]]),properties[[#This Row],[archivedDate]]-properties[[#This Row],[addedDate]],TODAY()-properties[[#This Row],[addedDate]])</f>
        <v>369</v>
      </c>
      <c r="Y5">
        <f ca="1">IF(ISNUMBER(properties[[#This Row],[archivedDate]]),properties[[#This Row],[archivedDate]]-properties[[#This Row],[addedDate]],TODAY()-properties[[#This Row],[addedDate]])</f>
        <v>369</v>
      </c>
    </row>
    <row r="6" spans="1:25" x14ac:dyDescent="0.25">
      <c r="A6" s="1">
        <v>45750</v>
      </c>
      <c r="B6" t="s">
        <v>51</v>
      </c>
      <c r="C6" t="s">
        <v>24</v>
      </c>
      <c r="D6" s="1"/>
      <c r="E6" t="s">
        <v>52</v>
      </c>
      <c r="F6">
        <v>2</v>
      </c>
      <c r="G6" t="s">
        <v>53</v>
      </c>
      <c r="H6" t="s">
        <v>54</v>
      </c>
      <c r="I6">
        <v>100</v>
      </c>
      <c r="J6">
        <v>62</v>
      </c>
      <c r="K6">
        <v>945000</v>
      </c>
      <c r="L6" t="s">
        <v>28</v>
      </c>
      <c r="M6">
        <v>945000</v>
      </c>
      <c r="N6">
        <v>0</v>
      </c>
      <c r="O6" t="s">
        <v>29</v>
      </c>
      <c r="P6" t="s">
        <v>55</v>
      </c>
      <c r="Q6" t="s">
        <v>43</v>
      </c>
      <c r="R6" t="s">
        <v>24</v>
      </c>
      <c r="S6" t="s">
        <v>56</v>
      </c>
      <c r="T6">
        <v>9450</v>
      </c>
      <c r="U6">
        <v>15241.935483870968</v>
      </c>
      <c r="V6">
        <v>9450</v>
      </c>
      <c r="W6">
        <v>15241.935483870968</v>
      </c>
      <c r="X6">
        <f ca="1">IF(ISNUMBER(properties[[#This Row],[archivedDate]]),properties[[#This Row],[archivedDate]]-properties[[#This Row],[addedDate]],TODAY()-properties[[#This Row],[addedDate]])</f>
        <v>369</v>
      </c>
      <c r="Y6">
        <f ca="1">IF(ISNUMBER(properties[[#This Row],[archivedDate]]),properties[[#This Row],[archivedDate]]-properties[[#This Row],[addedDate]],TODAY()-properties[[#This Row],[addedDate]])</f>
        <v>369</v>
      </c>
    </row>
    <row r="7" spans="1:25" x14ac:dyDescent="0.25">
      <c r="A7" s="1">
        <v>45750</v>
      </c>
      <c r="B7" t="s">
        <v>57</v>
      </c>
      <c r="C7" t="s">
        <v>24</v>
      </c>
      <c r="D7" s="1"/>
      <c r="E7" t="s">
        <v>58</v>
      </c>
      <c r="F7">
        <v>2</v>
      </c>
      <c r="G7" t="s">
        <v>59</v>
      </c>
      <c r="H7" t="s">
        <v>60</v>
      </c>
      <c r="I7">
        <v>172</v>
      </c>
      <c r="J7">
        <v>500</v>
      </c>
      <c r="K7">
        <v>1500000</v>
      </c>
      <c r="L7" t="s">
        <v>28</v>
      </c>
      <c r="M7">
        <v>1795000</v>
      </c>
      <c r="N7">
        <v>0</v>
      </c>
      <c r="O7" t="s">
        <v>29</v>
      </c>
      <c r="P7" t="s">
        <v>30</v>
      </c>
      <c r="Q7" t="s">
        <v>43</v>
      </c>
      <c r="R7" t="s">
        <v>24</v>
      </c>
      <c r="S7" t="s">
        <v>61</v>
      </c>
      <c r="T7">
        <v>8720.9302325581393</v>
      </c>
      <c r="U7">
        <v>3000</v>
      </c>
      <c r="V7">
        <v>10436.046511627907</v>
      </c>
      <c r="W7">
        <v>3590</v>
      </c>
      <c r="X7">
        <f ca="1">IF(ISNUMBER(properties[[#This Row],[archivedDate]]),properties[[#This Row],[archivedDate]]-properties[[#This Row],[addedDate]],TODAY()-properties[[#This Row],[addedDate]])</f>
        <v>369</v>
      </c>
      <c r="Y7">
        <f ca="1">IF(ISNUMBER(properties[[#This Row],[archivedDate]]),properties[[#This Row],[archivedDate]]-properties[[#This Row],[addedDate]],TODAY()-properties[[#This Row],[addedDate]])</f>
        <v>369</v>
      </c>
    </row>
    <row r="8" spans="1:25" x14ac:dyDescent="0.25">
      <c r="A8" s="1">
        <v>45750</v>
      </c>
      <c r="B8" t="s">
        <v>62</v>
      </c>
      <c r="C8" t="s">
        <v>24</v>
      </c>
      <c r="D8" s="1"/>
      <c r="E8" t="s">
        <v>63</v>
      </c>
      <c r="F8">
        <v>3</v>
      </c>
      <c r="G8" t="s">
        <v>64</v>
      </c>
      <c r="H8" t="s">
        <v>65</v>
      </c>
      <c r="I8">
        <v>176</v>
      </c>
      <c r="J8">
        <v>270</v>
      </c>
      <c r="K8">
        <v>1950000</v>
      </c>
      <c r="L8" t="s">
        <v>28</v>
      </c>
      <c r="M8">
        <v>1945000</v>
      </c>
      <c r="N8">
        <v>0</v>
      </c>
      <c r="O8" t="s">
        <v>29</v>
      </c>
      <c r="P8" t="s">
        <v>30</v>
      </c>
      <c r="Q8" t="s">
        <v>43</v>
      </c>
      <c r="R8" t="s">
        <v>24</v>
      </c>
      <c r="S8" t="s">
        <v>66</v>
      </c>
      <c r="T8">
        <v>11079.545454545454</v>
      </c>
      <c r="U8">
        <v>7222.2222222222226</v>
      </c>
      <c r="V8">
        <v>11051.136363636364</v>
      </c>
      <c r="W8">
        <v>7203.7037037037035</v>
      </c>
      <c r="X8">
        <f ca="1">IF(ISNUMBER(properties[[#This Row],[archivedDate]]),properties[[#This Row],[archivedDate]]-properties[[#This Row],[addedDate]],TODAY()-properties[[#This Row],[addedDate]])</f>
        <v>369</v>
      </c>
      <c r="Y8">
        <f ca="1">IF(ISNUMBER(properties[[#This Row],[archivedDate]]),properties[[#This Row],[archivedDate]]-properties[[#This Row],[addedDate]],TODAY()-properties[[#This Row],[addedDate]])</f>
        <v>369</v>
      </c>
    </row>
    <row r="9" spans="1:25" x14ac:dyDescent="0.25">
      <c r="A9" s="1">
        <v>45750</v>
      </c>
      <c r="B9" t="s">
        <v>67</v>
      </c>
      <c r="C9" t="s">
        <v>24</v>
      </c>
      <c r="D9" s="1"/>
      <c r="E9" t="s">
        <v>68</v>
      </c>
      <c r="F9">
        <v>2</v>
      </c>
      <c r="G9" t="s">
        <v>69</v>
      </c>
      <c r="H9" t="s">
        <v>70</v>
      </c>
      <c r="I9">
        <v>246</v>
      </c>
      <c r="J9">
        <v>466</v>
      </c>
      <c r="K9">
        <v>0</v>
      </c>
      <c r="L9" t="s">
        <v>28</v>
      </c>
      <c r="M9">
        <v>2195000</v>
      </c>
      <c r="N9">
        <v>0</v>
      </c>
      <c r="O9" t="s">
        <v>29</v>
      </c>
      <c r="P9" t="s">
        <v>30</v>
      </c>
      <c r="Q9" t="s">
        <v>43</v>
      </c>
      <c r="R9" t="s">
        <v>24</v>
      </c>
      <c r="S9" t="s">
        <v>71</v>
      </c>
      <c r="V9">
        <v>8922.7642276422757</v>
      </c>
      <c r="W9">
        <v>4710.3004291845491</v>
      </c>
      <c r="X9">
        <f ca="1">IF(ISNUMBER(properties[[#This Row],[archivedDate]]),properties[[#This Row],[archivedDate]]-properties[[#This Row],[addedDate]],TODAY()-properties[[#This Row],[addedDate]])</f>
        <v>369</v>
      </c>
      <c r="Y9">
        <f ca="1">IF(ISNUMBER(properties[[#This Row],[archivedDate]]),properties[[#This Row],[archivedDate]]-properties[[#This Row],[addedDate]],TODAY()-properties[[#This Row],[addedDate]])</f>
        <v>369</v>
      </c>
    </row>
    <row r="10" spans="1:25" x14ac:dyDescent="0.25">
      <c r="A10" s="1">
        <v>45750</v>
      </c>
      <c r="B10" t="s">
        <v>72</v>
      </c>
      <c r="C10" t="s">
        <v>24</v>
      </c>
      <c r="D10" s="1"/>
      <c r="E10" t="s">
        <v>34</v>
      </c>
      <c r="F10">
        <v>1</v>
      </c>
      <c r="G10" t="s">
        <v>73</v>
      </c>
      <c r="H10" t="s">
        <v>74</v>
      </c>
      <c r="I10">
        <v>57</v>
      </c>
      <c r="J10">
        <v>0</v>
      </c>
      <c r="K10">
        <v>0</v>
      </c>
      <c r="L10" t="s">
        <v>28</v>
      </c>
      <c r="M10">
        <v>2695000</v>
      </c>
      <c r="N10">
        <v>0</v>
      </c>
      <c r="O10" t="s">
        <v>29</v>
      </c>
      <c r="P10" t="s">
        <v>75</v>
      </c>
      <c r="Q10" t="s">
        <v>43</v>
      </c>
      <c r="R10" t="s">
        <v>24</v>
      </c>
      <c r="S10" t="s">
        <v>43</v>
      </c>
      <c r="V10">
        <v>47280.701754385962</v>
      </c>
      <c r="X10">
        <f ca="1">IF(ISNUMBER(properties[[#This Row],[archivedDate]]),properties[[#This Row],[archivedDate]]-properties[[#This Row],[addedDate]],TODAY()-properties[[#This Row],[addedDate]])</f>
        <v>369</v>
      </c>
      <c r="Y10">
        <f ca="1">IF(ISNUMBER(properties[[#This Row],[archivedDate]]),properties[[#This Row],[archivedDate]]-properties[[#This Row],[addedDate]],TODAY()-properties[[#This Row],[addedDate]])</f>
        <v>369</v>
      </c>
    </row>
    <row r="11" spans="1:25" x14ac:dyDescent="0.25">
      <c r="A11" s="1">
        <v>45750</v>
      </c>
      <c r="B11" t="s">
        <v>76</v>
      </c>
      <c r="C11" t="s">
        <v>24</v>
      </c>
      <c r="D11" s="1"/>
      <c r="E11" t="s">
        <v>77</v>
      </c>
      <c r="F11">
        <v>2</v>
      </c>
      <c r="G11" t="s">
        <v>78</v>
      </c>
      <c r="H11" t="s">
        <v>79</v>
      </c>
      <c r="I11">
        <v>194</v>
      </c>
      <c r="J11">
        <v>764</v>
      </c>
      <c r="K11">
        <v>0</v>
      </c>
      <c r="L11" t="s">
        <v>28</v>
      </c>
      <c r="M11">
        <v>2195000</v>
      </c>
      <c r="N11">
        <v>0</v>
      </c>
      <c r="O11" t="s">
        <v>29</v>
      </c>
      <c r="P11" t="s">
        <v>30</v>
      </c>
      <c r="Q11" t="s">
        <v>43</v>
      </c>
      <c r="R11" t="s">
        <v>24</v>
      </c>
      <c r="S11" t="s">
        <v>80</v>
      </c>
      <c r="V11">
        <v>11314.432989690722</v>
      </c>
      <c r="W11">
        <v>2873.0366492146595</v>
      </c>
      <c r="X11">
        <f ca="1">IF(ISNUMBER(properties[[#This Row],[archivedDate]]),properties[[#This Row],[archivedDate]]-properties[[#This Row],[addedDate]],TODAY()-properties[[#This Row],[addedDate]])</f>
        <v>369</v>
      </c>
      <c r="Y11">
        <f ca="1">IF(ISNUMBER(properties[[#This Row],[archivedDate]]),properties[[#This Row],[archivedDate]]-properties[[#This Row],[addedDate]],TODAY()-properties[[#This Row],[addedDate]])</f>
        <v>369</v>
      </c>
    </row>
    <row r="12" spans="1:25" x14ac:dyDescent="0.25">
      <c r="A12" s="1">
        <v>45750</v>
      </c>
      <c r="B12" t="s">
        <v>81</v>
      </c>
      <c r="C12" t="s">
        <v>24</v>
      </c>
      <c r="D12" s="1"/>
      <c r="E12" t="s">
        <v>82</v>
      </c>
      <c r="F12">
        <v>3</v>
      </c>
      <c r="G12" t="s">
        <v>83</v>
      </c>
      <c r="H12" t="s">
        <v>84</v>
      </c>
      <c r="I12">
        <v>50</v>
      </c>
      <c r="J12">
        <v>43</v>
      </c>
      <c r="K12">
        <v>245000</v>
      </c>
      <c r="L12" t="s">
        <v>28</v>
      </c>
      <c r="M12">
        <v>345000</v>
      </c>
      <c r="N12">
        <v>0</v>
      </c>
      <c r="O12" t="s">
        <v>29</v>
      </c>
      <c r="P12" t="s">
        <v>30</v>
      </c>
      <c r="Q12" t="s">
        <v>43</v>
      </c>
      <c r="R12" t="s">
        <v>24</v>
      </c>
      <c r="S12" t="s">
        <v>43</v>
      </c>
      <c r="T12">
        <v>4900</v>
      </c>
      <c r="U12">
        <v>5697.6744186046508</v>
      </c>
      <c r="V12">
        <v>6900</v>
      </c>
      <c r="W12">
        <v>8023.2558139534885</v>
      </c>
      <c r="X12">
        <f ca="1">IF(ISNUMBER(properties[[#This Row],[archivedDate]]),properties[[#This Row],[archivedDate]]-properties[[#This Row],[addedDate]],TODAY()-properties[[#This Row],[addedDate]])</f>
        <v>369</v>
      </c>
      <c r="Y12">
        <f ca="1">IF(ISNUMBER(properties[[#This Row],[archivedDate]]),properties[[#This Row],[archivedDate]]-properties[[#This Row],[addedDate]],TODAY()-properties[[#This Row],[addedDate]])</f>
        <v>369</v>
      </c>
    </row>
    <row r="13" spans="1:25" x14ac:dyDescent="0.25">
      <c r="A13" s="1">
        <v>45750</v>
      </c>
      <c r="B13" t="s">
        <v>85</v>
      </c>
      <c r="C13" t="s">
        <v>24</v>
      </c>
      <c r="D13" s="1"/>
      <c r="E13" t="s">
        <v>34</v>
      </c>
      <c r="F13">
        <v>2</v>
      </c>
      <c r="G13" t="s">
        <v>86</v>
      </c>
      <c r="H13" t="s">
        <v>87</v>
      </c>
      <c r="I13">
        <v>301</v>
      </c>
      <c r="J13">
        <v>500</v>
      </c>
      <c r="K13">
        <v>0</v>
      </c>
      <c r="L13" t="s">
        <v>28</v>
      </c>
      <c r="M13">
        <v>6495000</v>
      </c>
      <c r="N13">
        <v>0</v>
      </c>
      <c r="O13" t="s">
        <v>29</v>
      </c>
      <c r="P13" t="s">
        <v>30</v>
      </c>
      <c r="Q13" t="s">
        <v>43</v>
      </c>
      <c r="R13" t="s">
        <v>24</v>
      </c>
      <c r="S13" t="s">
        <v>88</v>
      </c>
      <c r="V13">
        <v>21578.073089700996</v>
      </c>
      <c r="W13">
        <v>12990</v>
      </c>
      <c r="X13">
        <f ca="1">IF(ISNUMBER(properties[[#This Row],[archivedDate]]),properties[[#This Row],[archivedDate]]-properties[[#This Row],[addedDate]],TODAY()-properties[[#This Row],[addedDate]])</f>
        <v>369</v>
      </c>
      <c r="Y13">
        <f ca="1">IF(ISNUMBER(properties[[#This Row],[archivedDate]]),properties[[#This Row],[archivedDate]]-properties[[#This Row],[addedDate]],TODAY()-properties[[#This Row],[addedDate]])</f>
        <v>369</v>
      </c>
    </row>
    <row r="14" spans="1:25" x14ac:dyDescent="0.25">
      <c r="A14" s="1">
        <v>45750</v>
      </c>
      <c r="B14" t="s">
        <v>89</v>
      </c>
      <c r="C14" t="s">
        <v>24</v>
      </c>
      <c r="D14" s="1"/>
      <c r="E14" t="s">
        <v>90</v>
      </c>
      <c r="F14">
        <v>1</v>
      </c>
      <c r="G14" t="s">
        <v>91</v>
      </c>
      <c r="H14" t="s">
        <v>92</v>
      </c>
      <c r="I14">
        <v>212</v>
      </c>
      <c r="J14">
        <v>1052</v>
      </c>
      <c r="K14">
        <v>3300000</v>
      </c>
      <c r="L14" t="s">
        <v>28</v>
      </c>
      <c r="M14">
        <v>3495000</v>
      </c>
      <c r="N14">
        <v>0</v>
      </c>
      <c r="O14" t="s">
        <v>29</v>
      </c>
      <c r="P14" t="s">
        <v>30</v>
      </c>
      <c r="Q14" t="s">
        <v>43</v>
      </c>
      <c r="R14" t="s">
        <v>24</v>
      </c>
      <c r="S14" t="s">
        <v>93</v>
      </c>
      <c r="T14">
        <v>15566.037735849057</v>
      </c>
      <c r="U14">
        <v>3136.8821292775665</v>
      </c>
      <c r="V14">
        <v>16485.849056603773</v>
      </c>
      <c r="W14">
        <v>3322.2433460076045</v>
      </c>
      <c r="X14">
        <f ca="1">IF(ISNUMBER(properties[[#This Row],[archivedDate]]),properties[[#This Row],[archivedDate]]-properties[[#This Row],[addedDate]],TODAY()-properties[[#This Row],[addedDate]])</f>
        <v>369</v>
      </c>
      <c r="Y14">
        <f ca="1">IF(ISNUMBER(properties[[#This Row],[archivedDate]]),properties[[#This Row],[archivedDate]]-properties[[#This Row],[addedDate]],TODAY()-properties[[#This Row],[addedDate]])</f>
        <v>369</v>
      </c>
    </row>
    <row r="15" spans="1:25" x14ac:dyDescent="0.25">
      <c r="A15" s="1">
        <v>45750</v>
      </c>
      <c r="B15" t="s">
        <v>94</v>
      </c>
      <c r="C15" t="s">
        <v>24</v>
      </c>
      <c r="D15" s="1"/>
      <c r="E15" t="s">
        <v>95</v>
      </c>
      <c r="F15">
        <v>0</v>
      </c>
      <c r="G15" t="s">
        <v>96</v>
      </c>
      <c r="H15" t="s">
        <v>97</v>
      </c>
      <c r="I15">
        <v>0</v>
      </c>
      <c r="J15">
        <v>1597</v>
      </c>
      <c r="K15">
        <v>200000</v>
      </c>
      <c r="L15" t="s">
        <v>28</v>
      </c>
      <c r="M15">
        <v>290000</v>
      </c>
      <c r="N15">
        <v>0</v>
      </c>
      <c r="O15" t="s">
        <v>29</v>
      </c>
      <c r="P15" t="s">
        <v>98</v>
      </c>
      <c r="Q15" t="s">
        <v>43</v>
      </c>
      <c r="R15" t="s">
        <v>24</v>
      </c>
      <c r="S15" t="s">
        <v>43</v>
      </c>
      <c r="U15">
        <v>125.23481527864746</v>
      </c>
      <c r="W15">
        <v>181.59048215403882</v>
      </c>
      <c r="X15">
        <f ca="1">IF(ISNUMBER(properties[[#This Row],[archivedDate]]),properties[[#This Row],[archivedDate]]-properties[[#This Row],[addedDate]],TODAY()-properties[[#This Row],[addedDate]])</f>
        <v>369</v>
      </c>
      <c r="Y15">
        <f ca="1">IF(ISNUMBER(properties[[#This Row],[archivedDate]]),properties[[#This Row],[archivedDate]]-properties[[#This Row],[addedDate]],TODAY()-properties[[#This Row],[addedDate]])</f>
        <v>369</v>
      </c>
    </row>
    <row r="16" spans="1:25" x14ac:dyDescent="0.25">
      <c r="A16" s="1">
        <v>45750</v>
      </c>
      <c r="B16" t="s">
        <v>99</v>
      </c>
      <c r="C16" t="s">
        <v>24</v>
      </c>
      <c r="D16" s="1">
        <v>45819</v>
      </c>
      <c r="E16" t="s">
        <v>100</v>
      </c>
      <c r="F16">
        <v>3</v>
      </c>
      <c r="G16" t="s">
        <v>101</v>
      </c>
      <c r="H16" t="s">
        <v>102</v>
      </c>
      <c r="I16">
        <v>108</v>
      </c>
      <c r="J16">
        <v>783</v>
      </c>
      <c r="K16">
        <v>0</v>
      </c>
      <c r="L16" t="s">
        <v>28</v>
      </c>
      <c r="M16">
        <v>945000</v>
      </c>
      <c r="N16">
        <v>0</v>
      </c>
      <c r="O16" t="s">
        <v>103</v>
      </c>
      <c r="P16" t="s">
        <v>30</v>
      </c>
      <c r="Q16" t="s">
        <v>43</v>
      </c>
      <c r="R16" t="s">
        <v>24</v>
      </c>
      <c r="S16" t="s">
        <v>104</v>
      </c>
      <c r="V16">
        <v>8750</v>
      </c>
      <c r="W16">
        <v>1206.8965517241379</v>
      </c>
      <c r="X16">
        <f ca="1">IF(ISNUMBER(properties[[#This Row],[archivedDate]]),properties[[#This Row],[archivedDate]]-properties[[#This Row],[addedDate]],TODAY()-properties[[#This Row],[addedDate]])</f>
        <v>69</v>
      </c>
      <c r="Y16">
        <f ca="1">IF(ISNUMBER(properties[[#This Row],[archivedDate]]),properties[[#This Row],[archivedDate]]-properties[[#This Row],[addedDate]],TODAY()-properties[[#This Row],[addedDate]])</f>
        <v>69</v>
      </c>
    </row>
    <row r="17" spans="1:25" x14ac:dyDescent="0.25">
      <c r="A17" s="1">
        <v>45750</v>
      </c>
      <c r="B17" t="s">
        <v>105</v>
      </c>
      <c r="C17" t="s">
        <v>24</v>
      </c>
      <c r="D17" s="1">
        <v>45820</v>
      </c>
      <c r="E17" t="s">
        <v>34</v>
      </c>
      <c r="F17">
        <v>4</v>
      </c>
      <c r="G17" t="s">
        <v>106</v>
      </c>
      <c r="H17" t="s">
        <v>107</v>
      </c>
      <c r="I17">
        <v>211</v>
      </c>
      <c r="J17">
        <v>157</v>
      </c>
      <c r="K17">
        <v>3000000</v>
      </c>
      <c r="L17" t="s">
        <v>28</v>
      </c>
      <c r="M17">
        <v>3595000</v>
      </c>
      <c r="N17">
        <v>0</v>
      </c>
      <c r="O17" t="s">
        <v>103</v>
      </c>
      <c r="P17" t="s">
        <v>108</v>
      </c>
      <c r="Q17" t="s">
        <v>43</v>
      </c>
      <c r="R17" t="s">
        <v>24</v>
      </c>
      <c r="S17" t="s">
        <v>109</v>
      </c>
      <c r="T17">
        <v>14218.009478672986</v>
      </c>
      <c r="U17">
        <v>19108.28025477707</v>
      </c>
      <c r="V17">
        <v>17037.91469194313</v>
      </c>
      <c r="W17">
        <v>22898.089171974523</v>
      </c>
      <c r="X17">
        <f ca="1">IF(ISNUMBER(properties[[#This Row],[archivedDate]]),properties[[#This Row],[archivedDate]]-properties[[#This Row],[addedDate]],TODAY()-properties[[#This Row],[addedDate]])</f>
        <v>70</v>
      </c>
      <c r="Y17">
        <f ca="1">IF(ISNUMBER(properties[[#This Row],[archivedDate]]),properties[[#This Row],[archivedDate]]-properties[[#This Row],[addedDate]],TODAY()-properties[[#This Row],[addedDate]])</f>
        <v>70</v>
      </c>
    </row>
    <row r="18" spans="1:25" x14ac:dyDescent="0.25">
      <c r="A18" s="1">
        <v>45750</v>
      </c>
      <c r="B18" t="s">
        <v>110</v>
      </c>
      <c r="C18" t="s">
        <v>24</v>
      </c>
      <c r="D18" s="1"/>
      <c r="E18" t="s">
        <v>100</v>
      </c>
      <c r="F18">
        <v>2</v>
      </c>
      <c r="G18" t="s">
        <v>111</v>
      </c>
      <c r="H18" t="s">
        <v>112</v>
      </c>
      <c r="I18">
        <v>130</v>
      </c>
      <c r="J18">
        <v>330</v>
      </c>
      <c r="K18">
        <v>350000</v>
      </c>
      <c r="L18" t="s">
        <v>28</v>
      </c>
      <c r="M18">
        <v>595000</v>
      </c>
      <c r="N18">
        <v>0</v>
      </c>
      <c r="O18" t="s">
        <v>29</v>
      </c>
      <c r="P18" t="s">
        <v>30</v>
      </c>
      <c r="Q18" t="s">
        <v>43</v>
      </c>
      <c r="R18" t="s">
        <v>24</v>
      </c>
      <c r="S18" t="s">
        <v>113</v>
      </c>
      <c r="T18">
        <v>2692.3076923076924</v>
      </c>
      <c r="U18">
        <v>1060.6060606060605</v>
      </c>
      <c r="V18">
        <v>4576.9230769230771</v>
      </c>
      <c r="W18">
        <v>1803.030303030303</v>
      </c>
      <c r="X18">
        <f ca="1">IF(ISNUMBER(properties[[#This Row],[archivedDate]]),properties[[#This Row],[archivedDate]]-properties[[#This Row],[addedDate]],TODAY()-properties[[#This Row],[addedDate]])</f>
        <v>369</v>
      </c>
      <c r="Y18">
        <f ca="1">IF(ISNUMBER(properties[[#This Row],[archivedDate]]),properties[[#This Row],[archivedDate]]-properties[[#This Row],[addedDate]],TODAY()-properties[[#This Row],[addedDate]])</f>
        <v>369</v>
      </c>
    </row>
    <row r="19" spans="1:25" x14ac:dyDescent="0.25">
      <c r="A19" s="1">
        <v>45752</v>
      </c>
      <c r="B19" t="s">
        <v>114</v>
      </c>
      <c r="C19" t="s">
        <v>24</v>
      </c>
      <c r="D19" s="1"/>
      <c r="E19" t="s">
        <v>115</v>
      </c>
      <c r="F19">
        <v>1</v>
      </c>
      <c r="G19" t="s">
        <v>116</v>
      </c>
      <c r="H19" t="s">
        <v>117</v>
      </c>
      <c r="I19">
        <v>82</v>
      </c>
      <c r="J19">
        <v>0</v>
      </c>
      <c r="K19">
        <v>0</v>
      </c>
      <c r="L19" t="s">
        <v>28</v>
      </c>
      <c r="M19">
        <v>998000</v>
      </c>
      <c r="N19">
        <v>0</v>
      </c>
      <c r="O19" t="s">
        <v>29</v>
      </c>
      <c r="P19" t="s">
        <v>108</v>
      </c>
      <c r="Q19" t="s">
        <v>43</v>
      </c>
      <c r="R19" t="s">
        <v>24</v>
      </c>
      <c r="S19" t="s">
        <v>118</v>
      </c>
      <c r="V19">
        <v>12170.731707317073</v>
      </c>
      <c r="X19">
        <f ca="1">IF(ISNUMBER(properties[[#This Row],[archivedDate]]),properties[[#This Row],[archivedDate]]-properties[[#This Row],[addedDate]],TODAY()-properties[[#This Row],[addedDate]])</f>
        <v>367</v>
      </c>
      <c r="Y19">
        <f ca="1">IF(ISNUMBER(properties[[#This Row],[archivedDate]]),properties[[#This Row],[archivedDate]]-properties[[#This Row],[addedDate]],TODAY()-properties[[#This Row],[addedDate]])</f>
        <v>367</v>
      </c>
    </row>
    <row r="20" spans="1:25" x14ac:dyDescent="0.25">
      <c r="A20" s="1">
        <v>45752</v>
      </c>
      <c r="B20" t="s">
        <v>119</v>
      </c>
      <c r="C20" t="s">
        <v>120</v>
      </c>
      <c r="D20" s="1">
        <v>45811</v>
      </c>
      <c r="E20" t="s">
        <v>46</v>
      </c>
      <c r="F20">
        <v>0</v>
      </c>
      <c r="G20" t="s">
        <v>121</v>
      </c>
      <c r="H20" t="s">
        <v>122</v>
      </c>
      <c r="I20">
        <v>125</v>
      </c>
      <c r="J20">
        <v>125</v>
      </c>
      <c r="K20">
        <v>4725000</v>
      </c>
      <c r="L20" t="s">
        <v>28</v>
      </c>
      <c r="M20">
        <v>3995000</v>
      </c>
      <c r="N20">
        <v>0</v>
      </c>
      <c r="O20" t="s">
        <v>103</v>
      </c>
      <c r="P20" t="s">
        <v>123</v>
      </c>
      <c r="Q20" t="s">
        <v>43</v>
      </c>
      <c r="R20" t="s">
        <v>124</v>
      </c>
      <c r="S20" t="s">
        <v>125</v>
      </c>
      <c r="T20">
        <v>37800</v>
      </c>
      <c r="U20">
        <v>37800</v>
      </c>
      <c r="V20">
        <v>31960</v>
      </c>
      <c r="W20">
        <v>31960</v>
      </c>
      <c r="X20">
        <f ca="1">IF(ISNUMBER(properties[[#This Row],[archivedDate]]),properties[[#This Row],[archivedDate]]-properties[[#This Row],[addedDate]],TODAY()-properties[[#This Row],[addedDate]])</f>
        <v>59</v>
      </c>
      <c r="Y20">
        <f ca="1">IF(ISNUMBER(properties[[#This Row],[archivedDate]]),properties[[#This Row],[archivedDate]]-properties[[#This Row],[addedDate]],TODAY()-properties[[#This Row],[addedDate]])</f>
        <v>59</v>
      </c>
    </row>
    <row r="21" spans="1:25" x14ac:dyDescent="0.25">
      <c r="A21" s="1">
        <v>45752</v>
      </c>
      <c r="B21" t="s">
        <v>126</v>
      </c>
      <c r="C21" t="s">
        <v>120</v>
      </c>
      <c r="D21" s="1">
        <v>45842</v>
      </c>
      <c r="E21" t="s">
        <v>52</v>
      </c>
      <c r="F21">
        <v>0</v>
      </c>
      <c r="G21" t="s">
        <v>127</v>
      </c>
      <c r="H21" t="s">
        <v>128</v>
      </c>
      <c r="I21">
        <v>194</v>
      </c>
      <c r="J21">
        <v>580</v>
      </c>
      <c r="K21">
        <v>1525000</v>
      </c>
      <c r="L21" t="s">
        <v>28</v>
      </c>
      <c r="M21">
        <v>1500000</v>
      </c>
      <c r="N21">
        <v>0</v>
      </c>
      <c r="O21" t="s">
        <v>103</v>
      </c>
      <c r="P21" t="s">
        <v>129</v>
      </c>
      <c r="Q21" t="s">
        <v>43</v>
      </c>
      <c r="R21" t="s">
        <v>124</v>
      </c>
      <c r="S21" t="s">
        <v>130</v>
      </c>
      <c r="T21">
        <v>7860.8247422680415</v>
      </c>
      <c r="U21">
        <v>2629.3103448275861</v>
      </c>
      <c r="V21">
        <v>7731.9587628865984</v>
      </c>
      <c r="W21">
        <v>2586.2068965517242</v>
      </c>
      <c r="X21">
        <f ca="1">IF(ISNUMBER(properties[[#This Row],[archivedDate]]),properties[[#This Row],[archivedDate]]-properties[[#This Row],[addedDate]],TODAY()-properties[[#This Row],[addedDate]])</f>
        <v>90</v>
      </c>
      <c r="Y21">
        <f ca="1">IF(ISNUMBER(properties[[#This Row],[archivedDate]]),properties[[#This Row],[archivedDate]]-properties[[#This Row],[addedDate]],TODAY()-properties[[#This Row],[addedDate]])</f>
        <v>90</v>
      </c>
    </row>
    <row r="22" spans="1:25" x14ac:dyDescent="0.25">
      <c r="A22" s="1">
        <v>45752</v>
      </c>
      <c r="B22" t="s">
        <v>131</v>
      </c>
      <c r="C22" t="s">
        <v>120</v>
      </c>
      <c r="D22" s="1">
        <v>45811</v>
      </c>
      <c r="E22" t="s">
        <v>34</v>
      </c>
      <c r="F22">
        <v>0</v>
      </c>
      <c r="G22" t="s">
        <v>132</v>
      </c>
      <c r="H22" t="s">
        <v>133</v>
      </c>
      <c r="I22">
        <v>142</v>
      </c>
      <c r="J22">
        <v>665</v>
      </c>
      <c r="K22">
        <v>2995000</v>
      </c>
      <c r="L22" t="s">
        <v>28</v>
      </c>
      <c r="M22">
        <v>2995000</v>
      </c>
      <c r="N22">
        <v>0</v>
      </c>
      <c r="O22" t="s">
        <v>103</v>
      </c>
      <c r="P22" t="s">
        <v>30</v>
      </c>
      <c r="Q22" t="s">
        <v>134</v>
      </c>
      <c r="R22" t="s">
        <v>124</v>
      </c>
      <c r="S22" t="s">
        <v>135</v>
      </c>
      <c r="T22">
        <v>21091.549295774646</v>
      </c>
      <c r="U22">
        <v>4503.7593984962405</v>
      </c>
      <c r="V22">
        <v>21091.549295774646</v>
      </c>
      <c r="W22">
        <v>4503.7593984962405</v>
      </c>
      <c r="X22">
        <f ca="1">IF(ISNUMBER(properties[[#This Row],[archivedDate]]),properties[[#This Row],[archivedDate]]-properties[[#This Row],[addedDate]],TODAY()-properties[[#This Row],[addedDate]])</f>
        <v>59</v>
      </c>
      <c r="Y22">
        <f ca="1">IF(ISNUMBER(properties[[#This Row],[archivedDate]]),properties[[#This Row],[archivedDate]]-properties[[#This Row],[addedDate]],TODAY()-properties[[#This Row],[addedDate]])</f>
        <v>59</v>
      </c>
    </row>
    <row r="23" spans="1:25" x14ac:dyDescent="0.25">
      <c r="A23" s="1">
        <v>45752</v>
      </c>
      <c r="B23" t="s">
        <v>136</v>
      </c>
      <c r="C23" t="s">
        <v>120</v>
      </c>
      <c r="D23" s="1">
        <v>45902</v>
      </c>
      <c r="E23" t="s">
        <v>34</v>
      </c>
      <c r="F23">
        <v>0</v>
      </c>
      <c r="G23" t="s">
        <v>137</v>
      </c>
      <c r="H23" t="s">
        <v>138</v>
      </c>
      <c r="I23">
        <v>230</v>
      </c>
      <c r="J23">
        <v>452</v>
      </c>
      <c r="K23">
        <v>4100000</v>
      </c>
      <c r="L23" t="s">
        <v>28</v>
      </c>
      <c r="M23">
        <v>4475000</v>
      </c>
      <c r="N23">
        <v>0</v>
      </c>
      <c r="O23" t="s">
        <v>103</v>
      </c>
      <c r="P23" t="s">
        <v>30</v>
      </c>
      <c r="Q23" t="s">
        <v>43</v>
      </c>
      <c r="R23" t="s">
        <v>124</v>
      </c>
      <c r="S23" t="s">
        <v>139</v>
      </c>
      <c r="T23">
        <v>17826.08695652174</v>
      </c>
      <c r="U23">
        <v>9070.7964601769909</v>
      </c>
      <c r="V23">
        <v>19456.521739130436</v>
      </c>
      <c r="W23">
        <v>9900.4424778761058</v>
      </c>
      <c r="X23">
        <f ca="1">IF(ISNUMBER(properties[[#This Row],[archivedDate]]),properties[[#This Row],[archivedDate]]-properties[[#This Row],[addedDate]],TODAY()-properties[[#This Row],[addedDate]])</f>
        <v>150</v>
      </c>
      <c r="Y23">
        <f ca="1">IF(ISNUMBER(properties[[#This Row],[archivedDate]]),properties[[#This Row],[archivedDate]]-properties[[#This Row],[addedDate]],TODAY()-properties[[#This Row],[addedDate]])</f>
        <v>150</v>
      </c>
    </row>
    <row r="24" spans="1:25" x14ac:dyDescent="0.25">
      <c r="A24" s="1">
        <v>45752</v>
      </c>
      <c r="B24" t="s">
        <v>140</v>
      </c>
      <c r="C24" t="s">
        <v>120</v>
      </c>
      <c r="D24" s="1">
        <v>45946</v>
      </c>
      <c r="E24" t="s">
        <v>141</v>
      </c>
      <c r="F24">
        <v>0</v>
      </c>
      <c r="G24" t="s">
        <v>142</v>
      </c>
      <c r="H24" t="s">
        <v>143</v>
      </c>
      <c r="I24">
        <v>258</v>
      </c>
      <c r="J24">
        <v>668</v>
      </c>
      <c r="K24">
        <v>2900000</v>
      </c>
      <c r="L24" t="s">
        <v>28</v>
      </c>
      <c r="M24">
        <v>3295000</v>
      </c>
      <c r="N24">
        <v>0</v>
      </c>
      <c r="O24" t="s">
        <v>103</v>
      </c>
      <c r="P24" t="s">
        <v>30</v>
      </c>
      <c r="Q24" t="s">
        <v>43</v>
      </c>
      <c r="R24" t="s">
        <v>124</v>
      </c>
      <c r="S24" t="s">
        <v>144</v>
      </c>
      <c r="T24">
        <v>11240.31007751938</v>
      </c>
      <c r="U24">
        <v>4341.3173652694613</v>
      </c>
      <c r="V24">
        <v>12771.317829457364</v>
      </c>
      <c r="W24">
        <v>4932.6347305389218</v>
      </c>
      <c r="X24">
        <f ca="1">IF(ISNUMBER(properties[[#This Row],[archivedDate]]),properties[[#This Row],[archivedDate]]-properties[[#This Row],[addedDate]],TODAY()-properties[[#This Row],[addedDate]])</f>
        <v>194</v>
      </c>
      <c r="Y24">
        <f ca="1">IF(ISNUMBER(properties[[#This Row],[archivedDate]]),properties[[#This Row],[archivedDate]]-properties[[#This Row],[addedDate]],TODAY()-properties[[#This Row],[addedDate]])</f>
        <v>194</v>
      </c>
    </row>
    <row r="25" spans="1:25" x14ac:dyDescent="0.25">
      <c r="A25" s="1">
        <v>45752</v>
      </c>
      <c r="B25" t="s">
        <v>145</v>
      </c>
      <c r="C25" t="s">
        <v>120</v>
      </c>
      <c r="D25" s="1">
        <v>45828</v>
      </c>
      <c r="E25" t="s">
        <v>146</v>
      </c>
      <c r="F25">
        <v>0</v>
      </c>
      <c r="G25" t="s">
        <v>147</v>
      </c>
      <c r="H25" t="s">
        <v>148</v>
      </c>
      <c r="I25">
        <v>75</v>
      </c>
      <c r="J25">
        <v>75</v>
      </c>
      <c r="K25">
        <v>150000</v>
      </c>
      <c r="L25" t="s">
        <v>28</v>
      </c>
      <c r="M25">
        <v>150000</v>
      </c>
      <c r="N25">
        <v>0</v>
      </c>
      <c r="O25" t="s">
        <v>103</v>
      </c>
      <c r="P25" t="s">
        <v>55</v>
      </c>
      <c r="Q25" t="s">
        <v>43</v>
      </c>
      <c r="R25" t="s">
        <v>124</v>
      </c>
      <c r="S25" t="s">
        <v>43</v>
      </c>
      <c r="T25">
        <v>2000</v>
      </c>
      <c r="U25">
        <v>2000</v>
      </c>
      <c r="V25">
        <v>2000</v>
      </c>
      <c r="W25">
        <v>2000</v>
      </c>
      <c r="X25">
        <f ca="1">IF(ISNUMBER(properties[[#This Row],[archivedDate]]),properties[[#This Row],[archivedDate]]-properties[[#This Row],[addedDate]],TODAY()-properties[[#This Row],[addedDate]])</f>
        <v>76</v>
      </c>
      <c r="Y25">
        <f ca="1">IF(ISNUMBER(properties[[#This Row],[archivedDate]]),properties[[#This Row],[archivedDate]]-properties[[#This Row],[addedDate]],TODAY()-properties[[#This Row],[addedDate]])</f>
        <v>76</v>
      </c>
    </row>
    <row r="26" spans="1:25" x14ac:dyDescent="0.25">
      <c r="A26" s="1">
        <v>45752</v>
      </c>
      <c r="B26" t="s">
        <v>149</v>
      </c>
      <c r="C26" t="s">
        <v>120</v>
      </c>
      <c r="D26" s="1"/>
      <c r="E26" t="s">
        <v>90</v>
      </c>
      <c r="F26">
        <v>0</v>
      </c>
      <c r="G26" t="s">
        <v>150</v>
      </c>
      <c r="H26" t="s">
        <v>151</v>
      </c>
      <c r="I26">
        <v>676</v>
      </c>
      <c r="J26">
        <v>676</v>
      </c>
      <c r="K26">
        <v>800000</v>
      </c>
      <c r="L26" t="s">
        <v>28</v>
      </c>
      <c r="M26">
        <v>650000</v>
      </c>
      <c r="N26">
        <v>0</v>
      </c>
      <c r="O26" t="s">
        <v>29</v>
      </c>
      <c r="P26" t="s">
        <v>98</v>
      </c>
      <c r="Q26" t="s">
        <v>43</v>
      </c>
      <c r="R26" t="s">
        <v>124</v>
      </c>
      <c r="S26" t="s">
        <v>43</v>
      </c>
      <c r="T26">
        <v>1183.4319526627219</v>
      </c>
      <c r="U26">
        <v>1183.4319526627219</v>
      </c>
      <c r="V26">
        <v>961.53846153846155</v>
      </c>
      <c r="W26">
        <v>961.53846153846155</v>
      </c>
      <c r="X26">
        <f ca="1">IF(ISNUMBER(properties[[#This Row],[archivedDate]]),properties[[#This Row],[archivedDate]]-properties[[#This Row],[addedDate]],TODAY()-properties[[#This Row],[addedDate]])</f>
        <v>367</v>
      </c>
      <c r="Y26">
        <f ca="1">IF(ISNUMBER(properties[[#This Row],[archivedDate]]),properties[[#This Row],[archivedDate]]-properties[[#This Row],[addedDate]],TODAY()-properties[[#This Row],[addedDate]])</f>
        <v>367</v>
      </c>
    </row>
    <row r="27" spans="1:25" x14ac:dyDescent="0.25">
      <c r="A27" s="1">
        <v>45752</v>
      </c>
      <c r="B27" t="s">
        <v>152</v>
      </c>
      <c r="C27" t="s">
        <v>120</v>
      </c>
      <c r="D27" s="1">
        <v>45852</v>
      </c>
      <c r="E27" t="s">
        <v>52</v>
      </c>
      <c r="F27">
        <v>0</v>
      </c>
      <c r="G27" t="s">
        <v>153</v>
      </c>
      <c r="H27" t="s">
        <v>154</v>
      </c>
      <c r="I27">
        <v>429</v>
      </c>
      <c r="J27">
        <v>1058</v>
      </c>
      <c r="K27">
        <v>2000000</v>
      </c>
      <c r="L27" t="s">
        <v>28</v>
      </c>
      <c r="M27">
        <v>2800000</v>
      </c>
      <c r="N27">
        <v>0</v>
      </c>
      <c r="O27" t="s">
        <v>103</v>
      </c>
      <c r="P27" t="s">
        <v>30</v>
      </c>
      <c r="Q27" t="s">
        <v>43</v>
      </c>
      <c r="R27" t="s">
        <v>124</v>
      </c>
      <c r="S27" t="s">
        <v>155</v>
      </c>
      <c r="T27">
        <v>4662.0046620046624</v>
      </c>
      <c r="U27">
        <v>1890.359168241966</v>
      </c>
      <c r="V27">
        <v>6526.8065268065266</v>
      </c>
      <c r="W27">
        <v>2646.5028355387522</v>
      </c>
      <c r="X27">
        <f ca="1">IF(ISNUMBER(properties[[#This Row],[archivedDate]]),properties[[#This Row],[archivedDate]]-properties[[#This Row],[addedDate]],TODAY()-properties[[#This Row],[addedDate]])</f>
        <v>100</v>
      </c>
      <c r="Y27">
        <f ca="1">IF(ISNUMBER(properties[[#This Row],[archivedDate]]),properties[[#This Row],[archivedDate]]-properties[[#This Row],[addedDate]],TODAY()-properties[[#This Row],[addedDate]])</f>
        <v>100</v>
      </c>
    </row>
    <row r="28" spans="1:25" x14ac:dyDescent="0.25">
      <c r="A28" s="1">
        <v>45752</v>
      </c>
      <c r="B28" t="s">
        <v>156</v>
      </c>
      <c r="C28" t="s">
        <v>120</v>
      </c>
      <c r="D28" s="1">
        <v>45845</v>
      </c>
      <c r="E28" t="s">
        <v>34</v>
      </c>
      <c r="F28">
        <v>0</v>
      </c>
      <c r="G28" t="s">
        <v>157</v>
      </c>
      <c r="H28" t="s">
        <v>158</v>
      </c>
      <c r="I28">
        <v>329</v>
      </c>
      <c r="J28">
        <v>428</v>
      </c>
      <c r="K28">
        <v>0</v>
      </c>
      <c r="L28" t="s">
        <v>28</v>
      </c>
      <c r="M28">
        <v>6495000</v>
      </c>
      <c r="N28">
        <v>0</v>
      </c>
      <c r="O28" t="s">
        <v>103</v>
      </c>
      <c r="P28" t="s">
        <v>30</v>
      </c>
      <c r="Q28" t="s">
        <v>43</v>
      </c>
      <c r="R28" t="s">
        <v>124</v>
      </c>
      <c r="S28" t="s">
        <v>43</v>
      </c>
      <c r="V28">
        <v>19741.64133738602</v>
      </c>
      <c r="W28">
        <v>15175.233644859813</v>
      </c>
      <c r="X28">
        <f ca="1">IF(ISNUMBER(properties[[#This Row],[archivedDate]]),properties[[#This Row],[archivedDate]]-properties[[#This Row],[addedDate]],TODAY()-properties[[#This Row],[addedDate]])</f>
        <v>93</v>
      </c>
      <c r="Y28">
        <f ca="1">IF(ISNUMBER(properties[[#This Row],[archivedDate]]),properties[[#This Row],[archivedDate]]-properties[[#This Row],[addedDate]],TODAY()-properties[[#This Row],[addedDate]])</f>
        <v>93</v>
      </c>
    </row>
    <row r="29" spans="1:25" x14ac:dyDescent="0.25">
      <c r="A29" s="1">
        <v>45752</v>
      </c>
      <c r="B29" t="s">
        <v>159</v>
      </c>
      <c r="C29" t="s">
        <v>120</v>
      </c>
      <c r="D29" s="1">
        <v>45807</v>
      </c>
      <c r="E29" t="s">
        <v>160</v>
      </c>
      <c r="F29">
        <v>0</v>
      </c>
      <c r="G29" t="s">
        <v>161</v>
      </c>
      <c r="H29" t="s">
        <v>162</v>
      </c>
      <c r="I29">
        <v>274</v>
      </c>
      <c r="J29">
        <v>608</v>
      </c>
      <c r="K29">
        <v>0</v>
      </c>
      <c r="L29" t="s">
        <v>28</v>
      </c>
      <c r="M29">
        <v>4250000</v>
      </c>
      <c r="N29">
        <v>0</v>
      </c>
      <c r="O29" t="s">
        <v>103</v>
      </c>
      <c r="P29" t="s">
        <v>30</v>
      </c>
      <c r="Q29" t="s">
        <v>43</v>
      </c>
      <c r="R29" t="s">
        <v>124</v>
      </c>
      <c r="S29" t="s">
        <v>163</v>
      </c>
      <c r="V29">
        <v>15510.94890510949</v>
      </c>
      <c r="W29">
        <v>6990.1315789473683</v>
      </c>
      <c r="X29">
        <f ca="1">IF(ISNUMBER(properties[[#This Row],[archivedDate]]),properties[[#This Row],[archivedDate]]-properties[[#This Row],[addedDate]],TODAY()-properties[[#This Row],[addedDate]])</f>
        <v>55</v>
      </c>
      <c r="Y29">
        <f ca="1">IF(ISNUMBER(properties[[#This Row],[archivedDate]]),properties[[#This Row],[archivedDate]]-properties[[#This Row],[addedDate]],TODAY()-properties[[#This Row],[addedDate]])</f>
        <v>55</v>
      </c>
    </row>
    <row r="30" spans="1:25" x14ac:dyDescent="0.25">
      <c r="A30" s="1">
        <v>45752</v>
      </c>
      <c r="B30" t="s">
        <v>164</v>
      </c>
      <c r="C30" t="s">
        <v>120</v>
      </c>
      <c r="D30" s="1">
        <v>46056</v>
      </c>
      <c r="E30" t="s">
        <v>165</v>
      </c>
      <c r="F30">
        <v>0</v>
      </c>
      <c r="G30" t="s">
        <v>166</v>
      </c>
      <c r="H30" t="s">
        <v>167</v>
      </c>
      <c r="I30">
        <v>243</v>
      </c>
      <c r="J30">
        <v>700</v>
      </c>
      <c r="K30">
        <v>3550000</v>
      </c>
      <c r="L30" t="s">
        <v>28</v>
      </c>
      <c r="M30">
        <v>3995000</v>
      </c>
      <c r="N30">
        <v>0</v>
      </c>
      <c r="O30" t="s">
        <v>103</v>
      </c>
      <c r="P30" t="s">
        <v>30</v>
      </c>
      <c r="Q30" t="s">
        <v>43</v>
      </c>
      <c r="R30" t="s">
        <v>124</v>
      </c>
      <c r="S30" t="s">
        <v>43</v>
      </c>
      <c r="T30">
        <v>14609.053497942386</v>
      </c>
      <c r="U30">
        <v>5071.4285714285716</v>
      </c>
      <c r="V30">
        <v>16440.329218106996</v>
      </c>
      <c r="W30">
        <v>5707.1428571428569</v>
      </c>
      <c r="X30">
        <f ca="1">IF(ISNUMBER(properties[[#This Row],[archivedDate]]),properties[[#This Row],[archivedDate]]-properties[[#This Row],[addedDate]],TODAY()-properties[[#This Row],[addedDate]])</f>
        <v>304</v>
      </c>
      <c r="Y30">
        <f ca="1">IF(ISNUMBER(properties[[#This Row],[archivedDate]]),properties[[#This Row],[archivedDate]]-properties[[#This Row],[addedDate]],TODAY()-properties[[#This Row],[addedDate]])</f>
        <v>304</v>
      </c>
    </row>
    <row r="31" spans="1:25" x14ac:dyDescent="0.25">
      <c r="A31" s="1">
        <v>45752</v>
      </c>
      <c r="B31" t="s">
        <v>168</v>
      </c>
      <c r="C31" t="s">
        <v>120</v>
      </c>
      <c r="D31" s="1">
        <v>45855</v>
      </c>
      <c r="E31" t="s">
        <v>141</v>
      </c>
      <c r="F31">
        <v>0</v>
      </c>
      <c r="G31" t="s">
        <v>169</v>
      </c>
      <c r="H31" t="s">
        <v>170</v>
      </c>
      <c r="I31">
        <v>278</v>
      </c>
      <c r="J31">
        <v>822</v>
      </c>
      <c r="K31">
        <v>0</v>
      </c>
      <c r="L31" t="s">
        <v>28</v>
      </c>
      <c r="M31">
        <v>2995000</v>
      </c>
      <c r="N31">
        <v>0</v>
      </c>
      <c r="O31" t="s">
        <v>103</v>
      </c>
      <c r="P31" t="s">
        <v>30</v>
      </c>
      <c r="Q31" t="s">
        <v>43</v>
      </c>
      <c r="R31" t="s">
        <v>124</v>
      </c>
      <c r="S31" t="s">
        <v>43</v>
      </c>
      <c r="V31">
        <v>10773.381294964029</v>
      </c>
      <c r="W31">
        <v>3643.5523114355233</v>
      </c>
      <c r="X31">
        <f ca="1">IF(ISNUMBER(properties[[#This Row],[archivedDate]]),properties[[#This Row],[archivedDate]]-properties[[#This Row],[addedDate]],TODAY()-properties[[#This Row],[addedDate]])</f>
        <v>103</v>
      </c>
      <c r="Y31">
        <f ca="1">IF(ISNUMBER(properties[[#This Row],[archivedDate]]),properties[[#This Row],[archivedDate]]-properties[[#This Row],[addedDate]],TODAY()-properties[[#This Row],[addedDate]])</f>
        <v>103</v>
      </c>
    </row>
    <row r="32" spans="1:25" x14ac:dyDescent="0.25">
      <c r="A32" s="1">
        <v>45752</v>
      </c>
      <c r="B32" t="s">
        <v>171</v>
      </c>
      <c r="C32" t="s">
        <v>120</v>
      </c>
      <c r="D32" s="1">
        <v>45824</v>
      </c>
      <c r="E32" t="s">
        <v>34</v>
      </c>
      <c r="F32">
        <v>0</v>
      </c>
      <c r="G32" t="s">
        <v>172</v>
      </c>
      <c r="H32" t="s">
        <v>173</v>
      </c>
      <c r="I32">
        <v>183</v>
      </c>
      <c r="J32">
        <v>136</v>
      </c>
      <c r="K32">
        <v>4050000</v>
      </c>
      <c r="L32" t="s">
        <v>28</v>
      </c>
      <c r="M32">
        <v>4395000</v>
      </c>
      <c r="N32">
        <v>0</v>
      </c>
      <c r="O32" t="s">
        <v>103</v>
      </c>
      <c r="P32" t="s">
        <v>129</v>
      </c>
      <c r="Q32" t="s">
        <v>43</v>
      </c>
      <c r="R32" t="s">
        <v>124</v>
      </c>
      <c r="S32" t="s">
        <v>174</v>
      </c>
      <c r="T32">
        <v>22131.147540983606</v>
      </c>
      <c r="U32">
        <v>29779.411764705881</v>
      </c>
      <c r="V32">
        <v>24016.39344262295</v>
      </c>
      <c r="W32">
        <v>32316.176470588234</v>
      </c>
      <c r="X32">
        <f ca="1">IF(ISNUMBER(properties[[#This Row],[archivedDate]]),properties[[#This Row],[archivedDate]]-properties[[#This Row],[addedDate]],TODAY()-properties[[#This Row],[addedDate]])</f>
        <v>72</v>
      </c>
      <c r="Y32">
        <f ca="1">IF(ISNUMBER(properties[[#This Row],[archivedDate]]),properties[[#This Row],[archivedDate]]-properties[[#This Row],[addedDate]],TODAY()-properties[[#This Row],[addedDate]])</f>
        <v>72</v>
      </c>
    </row>
    <row r="33" spans="1:25" x14ac:dyDescent="0.25">
      <c r="A33" s="1">
        <v>45752</v>
      </c>
      <c r="B33" t="s">
        <v>175</v>
      </c>
      <c r="C33" t="s">
        <v>120</v>
      </c>
      <c r="D33" s="1">
        <v>45824</v>
      </c>
      <c r="E33" t="s">
        <v>176</v>
      </c>
      <c r="F33">
        <v>0</v>
      </c>
      <c r="G33" t="s">
        <v>177</v>
      </c>
      <c r="H33" t="s">
        <v>178</v>
      </c>
      <c r="I33">
        <v>84</v>
      </c>
      <c r="J33">
        <v>84</v>
      </c>
      <c r="K33">
        <v>2270000</v>
      </c>
      <c r="L33" t="s">
        <v>28</v>
      </c>
      <c r="M33">
        <v>2195000</v>
      </c>
      <c r="N33">
        <v>0</v>
      </c>
      <c r="O33" t="s">
        <v>103</v>
      </c>
      <c r="P33" t="s">
        <v>123</v>
      </c>
      <c r="Q33" t="s">
        <v>43</v>
      </c>
      <c r="R33" t="s">
        <v>124</v>
      </c>
      <c r="S33" t="s">
        <v>43</v>
      </c>
      <c r="T33">
        <v>27023.809523809523</v>
      </c>
      <c r="U33">
        <v>27023.809523809523</v>
      </c>
      <c r="V33">
        <v>26130.952380952382</v>
      </c>
      <c r="W33">
        <v>26130.952380952382</v>
      </c>
      <c r="X33">
        <f ca="1">IF(ISNUMBER(properties[[#This Row],[archivedDate]]),properties[[#This Row],[archivedDate]]-properties[[#This Row],[addedDate]],TODAY()-properties[[#This Row],[addedDate]])</f>
        <v>72</v>
      </c>
      <c r="Y33">
        <f ca="1">IF(ISNUMBER(properties[[#This Row],[archivedDate]]),properties[[#This Row],[archivedDate]]-properties[[#This Row],[addedDate]],TODAY()-properties[[#This Row],[addedDate]])</f>
        <v>72</v>
      </c>
    </row>
    <row r="34" spans="1:25" x14ac:dyDescent="0.25">
      <c r="A34" s="1">
        <v>45752</v>
      </c>
      <c r="B34" t="s">
        <v>179</v>
      </c>
      <c r="C34" t="s">
        <v>120</v>
      </c>
      <c r="D34" s="1">
        <v>45953</v>
      </c>
      <c r="E34" t="s">
        <v>146</v>
      </c>
      <c r="F34">
        <v>0</v>
      </c>
      <c r="G34" t="s">
        <v>180</v>
      </c>
      <c r="H34" t="s">
        <v>181</v>
      </c>
      <c r="I34">
        <v>0</v>
      </c>
      <c r="J34">
        <v>0</v>
      </c>
      <c r="K34">
        <v>1700000</v>
      </c>
      <c r="L34" t="s">
        <v>28</v>
      </c>
      <c r="M34">
        <v>2300000</v>
      </c>
      <c r="N34">
        <v>0</v>
      </c>
      <c r="O34" t="s">
        <v>103</v>
      </c>
      <c r="P34" t="s">
        <v>30</v>
      </c>
      <c r="Q34" t="s">
        <v>43</v>
      </c>
      <c r="R34" t="s">
        <v>124</v>
      </c>
      <c r="S34" t="s">
        <v>43</v>
      </c>
      <c r="X34">
        <f ca="1">IF(ISNUMBER(properties[[#This Row],[archivedDate]]),properties[[#This Row],[archivedDate]]-properties[[#This Row],[addedDate]],TODAY()-properties[[#This Row],[addedDate]])</f>
        <v>201</v>
      </c>
      <c r="Y34">
        <f ca="1">IF(ISNUMBER(properties[[#This Row],[archivedDate]]),properties[[#This Row],[archivedDate]]-properties[[#This Row],[addedDate]],TODAY()-properties[[#This Row],[addedDate]])</f>
        <v>201</v>
      </c>
    </row>
    <row r="35" spans="1:25" x14ac:dyDescent="0.25">
      <c r="A35" s="1">
        <v>45752</v>
      </c>
      <c r="B35" t="s">
        <v>182</v>
      </c>
      <c r="C35" t="s">
        <v>120</v>
      </c>
      <c r="D35" s="1">
        <v>45902</v>
      </c>
      <c r="E35" t="s">
        <v>82</v>
      </c>
      <c r="F35">
        <v>0</v>
      </c>
      <c r="G35" t="s">
        <v>183</v>
      </c>
      <c r="H35" t="s">
        <v>184</v>
      </c>
      <c r="I35">
        <v>700</v>
      </c>
      <c r="J35">
        <v>3263</v>
      </c>
      <c r="K35">
        <v>0</v>
      </c>
      <c r="L35" t="s">
        <v>28</v>
      </c>
      <c r="M35">
        <v>12500000</v>
      </c>
      <c r="N35">
        <v>0</v>
      </c>
      <c r="O35" t="s">
        <v>103</v>
      </c>
      <c r="P35" t="s">
        <v>185</v>
      </c>
      <c r="Q35" t="s">
        <v>43</v>
      </c>
      <c r="R35" t="s">
        <v>124</v>
      </c>
      <c r="S35" t="s">
        <v>43</v>
      </c>
      <c r="V35">
        <v>17857.142857142859</v>
      </c>
      <c r="W35">
        <v>3830.8305240576155</v>
      </c>
      <c r="X35">
        <f ca="1">IF(ISNUMBER(properties[[#This Row],[archivedDate]]),properties[[#This Row],[archivedDate]]-properties[[#This Row],[addedDate]],TODAY()-properties[[#This Row],[addedDate]])</f>
        <v>150</v>
      </c>
      <c r="Y35">
        <f ca="1">IF(ISNUMBER(properties[[#This Row],[archivedDate]]),properties[[#This Row],[archivedDate]]-properties[[#This Row],[addedDate]],TODAY()-properties[[#This Row],[addedDate]])</f>
        <v>150</v>
      </c>
    </row>
    <row r="36" spans="1:25" x14ac:dyDescent="0.25">
      <c r="A36" s="1">
        <v>45752</v>
      </c>
      <c r="B36" t="s">
        <v>186</v>
      </c>
      <c r="C36" t="s">
        <v>120</v>
      </c>
      <c r="D36" s="1">
        <v>45910</v>
      </c>
      <c r="E36" t="s">
        <v>187</v>
      </c>
      <c r="F36">
        <v>0</v>
      </c>
      <c r="G36" t="s">
        <v>188</v>
      </c>
      <c r="H36" t="s">
        <v>189</v>
      </c>
      <c r="I36">
        <v>308</v>
      </c>
      <c r="J36">
        <v>1000</v>
      </c>
      <c r="K36">
        <v>0</v>
      </c>
      <c r="L36" t="s">
        <v>28</v>
      </c>
      <c r="M36">
        <v>2750000</v>
      </c>
      <c r="N36">
        <v>0</v>
      </c>
      <c r="O36" t="s">
        <v>103</v>
      </c>
      <c r="P36" t="s">
        <v>30</v>
      </c>
      <c r="Q36" t="s">
        <v>43</v>
      </c>
      <c r="R36" t="s">
        <v>124</v>
      </c>
      <c r="S36" t="s">
        <v>43</v>
      </c>
      <c r="V36">
        <v>8928.5714285714294</v>
      </c>
      <c r="W36">
        <v>2750</v>
      </c>
      <c r="X36">
        <f ca="1">IF(ISNUMBER(properties[[#This Row],[archivedDate]]),properties[[#This Row],[archivedDate]]-properties[[#This Row],[addedDate]],TODAY()-properties[[#This Row],[addedDate]])</f>
        <v>158</v>
      </c>
      <c r="Y36">
        <f ca="1">IF(ISNUMBER(properties[[#This Row],[archivedDate]]),properties[[#This Row],[archivedDate]]-properties[[#This Row],[addedDate]],TODAY()-properties[[#This Row],[addedDate]])</f>
        <v>158</v>
      </c>
    </row>
    <row r="37" spans="1:25" x14ac:dyDescent="0.25">
      <c r="A37" s="1">
        <v>45752</v>
      </c>
      <c r="B37" t="s">
        <v>190</v>
      </c>
      <c r="C37" t="s">
        <v>120</v>
      </c>
      <c r="D37" s="1">
        <v>45888</v>
      </c>
      <c r="E37" t="s">
        <v>191</v>
      </c>
      <c r="F37">
        <v>0</v>
      </c>
      <c r="G37" t="s">
        <v>192</v>
      </c>
      <c r="H37" t="s">
        <v>193</v>
      </c>
      <c r="I37">
        <v>13200</v>
      </c>
      <c r="J37">
        <v>13200</v>
      </c>
      <c r="K37">
        <v>0</v>
      </c>
      <c r="L37" t="s">
        <v>28</v>
      </c>
      <c r="M37">
        <v>2000000</v>
      </c>
      <c r="N37">
        <v>0</v>
      </c>
      <c r="O37" t="s">
        <v>103</v>
      </c>
      <c r="P37" t="s">
        <v>194</v>
      </c>
      <c r="Q37" t="s">
        <v>43</v>
      </c>
      <c r="R37" t="s">
        <v>124</v>
      </c>
      <c r="S37" t="s">
        <v>43</v>
      </c>
      <c r="V37">
        <v>151.5151515151515</v>
      </c>
      <c r="W37">
        <v>151.5151515151515</v>
      </c>
      <c r="X37">
        <f ca="1">IF(ISNUMBER(properties[[#This Row],[archivedDate]]),properties[[#This Row],[archivedDate]]-properties[[#This Row],[addedDate]],TODAY()-properties[[#This Row],[addedDate]])</f>
        <v>136</v>
      </c>
      <c r="Y37">
        <f ca="1">IF(ISNUMBER(properties[[#This Row],[archivedDate]]),properties[[#This Row],[archivedDate]]-properties[[#This Row],[addedDate]],TODAY()-properties[[#This Row],[addedDate]])</f>
        <v>136</v>
      </c>
    </row>
    <row r="38" spans="1:25" x14ac:dyDescent="0.25">
      <c r="A38" s="1">
        <v>45752</v>
      </c>
      <c r="B38" t="s">
        <v>195</v>
      </c>
      <c r="C38" t="s">
        <v>120</v>
      </c>
      <c r="D38" s="1">
        <v>45944</v>
      </c>
      <c r="E38" t="s">
        <v>196</v>
      </c>
      <c r="F38">
        <v>0</v>
      </c>
      <c r="G38" t="s">
        <v>197</v>
      </c>
      <c r="H38" t="s">
        <v>198</v>
      </c>
      <c r="I38">
        <v>3057</v>
      </c>
      <c r="J38">
        <v>3057</v>
      </c>
      <c r="K38">
        <v>200000</v>
      </c>
      <c r="L38" t="s">
        <v>28</v>
      </c>
      <c r="M38">
        <v>200000</v>
      </c>
      <c r="N38">
        <v>0</v>
      </c>
      <c r="O38" t="s">
        <v>103</v>
      </c>
      <c r="P38" t="s">
        <v>98</v>
      </c>
      <c r="Q38" t="s">
        <v>43</v>
      </c>
      <c r="R38" t="s">
        <v>124</v>
      </c>
      <c r="S38" t="s">
        <v>43</v>
      </c>
      <c r="T38">
        <v>65.423617926071316</v>
      </c>
      <c r="U38">
        <v>65.423617926071316</v>
      </c>
      <c r="V38">
        <v>65.423617926071316</v>
      </c>
      <c r="W38">
        <v>65.423617926071316</v>
      </c>
      <c r="X38">
        <f ca="1">IF(ISNUMBER(properties[[#This Row],[archivedDate]]),properties[[#This Row],[archivedDate]]-properties[[#This Row],[addedDate]],TODAY()-properties[[#This Row],[addedDate]])</f>
        <v>192</v>
      </c>
      <c r="Y38">
        <f ca="1">IF(ISNUMBER(properties[[#This Row],[archivedDate]]),properties[[#This Row],[archivedDate]]-properties[[#This Row],[addedDate]],TODAY()-properties[[#This Row],[addedDate]])</f>
        <v>192</v>
      </c>
    </row>
    <row r="39" spans="1:25" x14ac:dyDescent="0.25">
      <c r="A39" s="1">
        <v>45752</v>
      </c>
      <c r="B39" t="s">
        <v>199</v>
      </c>
      <c r="C39" t="s">
        <v>120</v>
      </c>
      <c r="D39" s="1">
        <v>45940</v>
      </c>
      <c r="E39" t="s">
        <v>200</v>
      </c>
      <c r="F39">
        <v>0</v>
      </c>
      <c r="G39" t="s">
        <v>201</v>
      </c>
      <c r="H39" t="s">
        <v>202</v>
      </c>
      <c r="I39">
        <v>740</v>
      </c>
      <c r="J39">
        <v>820</v>
      </c>
      <c r="K39">
        <v>1600000</v>
      </c>
      <c r="L39" t="s">
        <v>28</v>
      </c>
      <c r="M39">
        <v>1995000</v>
      </c>
      <c r="N39">
        <v>0</v>
      </c>
      <c r="O39" t="s">
        <v>103</v>
      </c>
      <c r="P39" t="s">
        <v>185</v>
      </c>
      <c r="Q39" t="s">
        <v>43</v>
      </c>
      <c r="R39" t="s">
        <v>124</v>
      </c>
      <c r="S39" t="s">
        <v>43</v>
      </c>
      <c r="T39">
        <v>2162.1621621621621</v>
      </c>
      <c r="U39">
        <v>1951.219512195122</v>
      </c>
      <c r="V39">
        <v>2695.9459459459458</v>
      </c>
      <c r="W39">
        <v>2432.9268292682927</v>
      </c>
      <c r="X39">
        <f ca="1">IF(ISNUMBER(properties[[#This Row],[archivedDate]]),properties[[#This Row],[archivedDate]]-properties[[#This Row],[addedDate]],TODAY()-properties[[#This Row],[addedDate]])</f>
        <v>188</v>
      </c>
      <c r="Y39">
        <f ca="1">IF(ISNUMBER(properties[[#This Row],[archivedDate]]),properties[[#This Row],[archivedDate]]-properties[[#This Row],[addedDate]],TODAY()-properties[[#This Row],[addedDate]])</f>
        <v>188</v>
      </c>
    </row>
    <row r="40" spans="1:25" x14ac:dyDescent="0.25">
      <c r="A40" s="1">
        <v>45752</v>
      </c>
      <c r="B40" t="s">
        <v>203</v>
      </c>
      <c r="C40" t="s">
        <v>120</v>
      </c>
      <c r="D40" s="1">
        <v>46051</v>
      </c>
      <c r="E40" t="s">
        <v>25</v>
      </c>
      <c r="F40">
        <v>0</v>
      </c>
      <c r="G40" t="s">
        <v>204</v>
      </c>
      <c r="H40" t="s">
        <v>205</v>
      </c>
      <c r="I40">
        <v>611</v>
      </c>
      <c r="J40">
        <v>611</v>
      </c>
      <c r="K40">
        <v>0</v>
      </c>
      <c r="L40" t="s">
        <v>28</v>
      </c>
      <c r="M40">
        <v>595000</v>
      </c>
      <c r="N40">
        <v>0</v>
      </c>
      <c r="O40" t="s">
        <v>103</v>
      </c>
      <c r="P40" t="s">
        <v>98</v>
      </c>
      <c r="Q40" t="s">
        <v>43</v>
      </c>
      <c r="R40" t="s">
        <v>124</v>
      </c>
      <c r="S40" t="s">
        <v>43</v>
      </c>
      <c r="V40">
        <v>973.8134206219313</v>
      </c>
      <c r="W40">
        <v>973.8134206219313</v>
      </c>
      <c r="X40">
        <f ca="1">IF(ISNUMBER(properties[[#This Row],[archivedDate]]),properties[[#This Row],[archivedDate]]-properties[[#This Row],[addedDate]],TODAY()-properties[[#This Row],[addedDate]])</f>
        <v>299</v>
      </c>
      <c r="Y40">
        <f ca="1">IF(ISNUMBER(properties[[#This Row],[archivedDate]]),properties[[#This Row],[archivedDate]]-properties[[#This Row],[addedDate]],TODAY()-properties[[#This Row],[addedDate]])</f>
        <v>299</v>
      </c>
    </row>
    <row r="41" spans="1:25" x14ac:dyDescent="0.25">
      <c r="A41" s="1">
        <v>45752</v>
      </c>
      <c r="B41" t="s">
        <v>206</v>
      </c>
      <c r="C41" t="s">
        <v>120</v>
      </c>
      <c r="D41" s="1"/>
      <c r="E41" t="s">
        <v>207</v>
      </c>
      <c r="F41">
        <v>0</v>
      </c>
      <c r="G41" t="s">
        <v>208</v>
      </c>
      <c r="H41" t="s">
        <v>209</v>
      </c>
      <c r="I41">
        <v>596</v>
      </c>
      <c r="J41">
        <v>596</v>
      </c>
      <c r="K41">
        <v>125000</v>
      </c>
      <c r="L41" t="s">
        <v>28</v>
      </c>
      <c r="M41">
        <v>295000</v>
      </c>
      <c r="N41">
        <v>0</v>
      </c>
      <c r="O41" t="s">
        <v>29</v>
      </c>
      <c r="P41" t="s">
        <v>98</v>
      </c>
      <c r="Q41" t="s">
        <v>43</v>
      </c>
      <c r="R41" t="s">
        <v>124</v>
      </c>
      <c r="S41" t="s">
        <v>43</v>
      </c>
      <c r="T41">
        <v>209.73154362416108</v>
      </c>
      <c r="U41">
        <v>209.73154362416108</v>
      </c>
      <c r="V41">
        <v>494.96644295302013</v>
      </c>
      <c r="W41">
        <v>494.96644295302013</v>
      </c>
      <c r="X41">
        <f ca="1">IF(ISNUMBER(properties[[#This Row],[archivedDate]]),properties[[#This Row],[archivedDate]]-properties[[#This Row],[addedDate]],TODAY()-properties[[#This Row],[addedDate]])</f>
        <v>367</v>
      </c>
      <c r="Y41">
        <f ca="1">IF(ISNUMBER(properties[[#This Row],[archivedDate]]),properties[[#This Row],[archivedDate]]-properties[[#This Row],[addedDate]],TODAY()-properties[[#This Row],[addedDate]])</f>
        <v>367</v>
      </c>
    </row>
    <row r="42" spans="1:25" x14ac:dyDescent="0.25">
      <c r="A42" s="1">
        <v>45752</v>
      </c>
      <c r="B42" t="s">
        <v>210</v>
      </c>
      <c r="C42" t="s">
        <v>120</v>
      </c>
      <c r="D42" s="1"/>
      <c r="E42" t="s">
        <v>211</v>
      </c>
      <c r="F42">
        <v>0</v>
      </c>
      <c r="G42" t="s">
        <v>212</v>
      </c>
      <c r="H42" t="s">
        <v>213</v>
      </c>
      <c r="I42">
        <v>547</v>
      </c>
      <c r="J42">
        <v>547</v>
      </c>
      <c r="K42">
        <v>0</v>
      </c>
      <c r="L42" t="s">
        <v>28</v>
      </c>
      <c r="M42">
        <v>895000</v>
      </c>
      <c r="N42">
        <v>0</v>
      </c>
      <c r="O42" t="s">
        <v>29</v>
      </c>
      <c r="P42" t="s">
        <v>98</v>
      </c>
      <c r="Q42" t="s">
        <v>43</v>
      </c>
      <c r="R42" t="s">
        <v>124</v>
      </c>
      <c r="S42" t="s">
        <v>43</v>
      </c>
      <c r="V42">
        <v>1636.1974405850092</v>
      </c>
      <c r="W42">
        <v>1636.1974405850092</v>
      </c>
      <c r="X42">
        <f ca="1">IF(ISNUMBER(properties[[#This Row],[archivedDate]]),properties[[#This Row],[archivedDate]]-properties[[#This Row],[addedDate]],TODAY()-properties[[#This Row],[addedDate]])</f>
        <v>367</v>
      </c>
      <c r="Y42">
        <f ca="1">IF(ISNUMBER(properties[[#This Row],[archivedDate]]),properties[[#This Row],[archivedDate]]-properties[[#This Row],[addedDate]],TODAY()-properties[[#This Row],[addedDate]])</f>
        <v>367</v>
      </c>
    </row>
    <row r="43" spans="1:25" x14ac:dyDescent="0.25">
      <c r="A43" s="1">
        <v>45752</v>
      </c>
      <c r="B43" t="s">
        <v>214</v>
      </c>
      <c r="C43" t="s">
        <v>120</v>
      </c>
      <c r="D43" s="1">
        <v>45902</v>
      </c>
      <c r="E43" t="s">
        <v>215</v>
      </c>
      <c r="F43">
        <v>0</v>
      </c>
      <c r="G43" t="s">
        <v>216</v>
      </c>
      <c r="H43" t="s">
        <v>217</v>
      </c>
      <c r="I43">
        <v>93</v>
      </c>
      <c r="J43">
        <v>93</v>
      </c>
      <c r="K43">
        <v>0</v>
      </c>
      <c r="L43" t="s">
        <v>28</v>
      </c>
      <c r="M43">
        <v>2695000</v>
      </c>
      <c r="N43">
        <v>0</v>
      </c>
      <c r="O43" t="s">
        <v>103</v>
      </c>
      <c r="P43" t="s">
        <v>185</v>
      </c>
      <c r="Q43" t="s">
        <v>43</v>
      </c>
      <c r="R43" t="s">
        <v>124</v>
      </c>
      <c r="S43" t="s">
        <v>43</v>
      </c>
      <c r="V43">
        <v>28978.494623655915</v>
      </c>
      <c r="W43">
        <v>28978.494623655915</v>
      </c>
      <c r="X43">
        <f ca="1">IF(ISNUMBER(properties[[#This Row],[archivedDate]]),properties[[#This Row],[archivedDate]]-properties[[#This Row],[addedDate]],TODAY()-properties[[#This Row],[addedDate]])</f>
        <v>150</v>
      </c>
      <c r="Y43">
        <f ca="1">IF(ISNUMBER(properties[[#This Row],[archivedDate]]),properties[[#This Row],[archivedDate]]-properties[[#This Row],[addedDate]],TODAY()-properties[[#This Row],[addedDate]])</f>
        <v>150</v>
      </c>
    </row>
    <row r="44" spans="1:25" x14ac:dyDescent="0.25">
      <c r="A44" s="1">
        <v>45752</v>
      </c>
      <c r="B44" t="s">
        <v>218</v>
      </c>
      <c r="C44" t="s">
        <v>120</v>
      </c>
      <c r="D44" s="1"/>
      <c r="E44" t="s">
        <v>219</v>
      </c>
      <c r="F44">
        <v>0</v>
      </c>
      <c r="G44" t="s">
        <v>220</v>
      </c>
      <c r="H44" t="s">
        <v>221</v>
      </c>
      <c r="I44">
        <v>10043</v>
      </c>
      <c r="J44">
        <v>10043</v>
      </c>
      <c r="K44">
        <v>200000</v>
      </c>
      <c r="L44" t="s">
        <v>28</v>
      </c>
      <c r="M44">
        <v>250000</v>
      </c>
      <c r="N44">
        <v>0</v>
      </c>
      <c r="O44" t="s">
        <v>29</v>
      </c>
      <c r="P44" t="s">
        <v>194</v>
      </c>
      <c r="Q44" t="s">
        <v>43</v>
      </c>
      <c r="R44" t="s">
        <v>124</v>
      </c>
      <c r="S44" t="s">
        <v>43</v>
      </c>
      <c r="T44">
        <v>19.914368216668326</v>
      </c>
      <c r="U44">
        <v>19.914368216668326</v>
      </c>
      <c r="V44">
        <v>24.892960270835406</v>
      </c>
      <c r="W44">
        <v>24.892960270835406</v>
      </c>
      <c r="X44">
        <f ca="1">IF(ISNUMBER(properties[[#This Row],[archivedDate]]),properties[[#This Row],[archivedDate]]-properties[[#This Row],[addedDate]],TODAY()-properties[[#This Row],[addedDate]])</f>
        <v>367</v>
      </c>
      <c r="Y44">
        <f ca="1">IF(ISNUMBER(properties[[#This Row],[archivedDate]]),properties[[#This Row],[archivedDate]]-properties[[#This Row],[addedDate]],TODAY()-properties[[#This Row],[addedDate]])</f>
        <v>367</v>
      </c>
    </row>
    <row r="45" spans="1:25" x14ac:dyDescent="0.25">
      <c r="A45" s="1">
        <v>45752</v>
      </c>
      <c r="B45" t="s">
        <v>222</v>
      </c>
      <c r="C45" t="s">
        <v>120</v>
      </c>
      <c r="D45" s="1"/>
      <c r="E45" t="s">
        <v>95</v>
      </c>
      <c r="F45">
        <v>0</v>
      </c>
      <c r="G45" t="s">
        <v>223</v>
      </c>
      <c r="H45" t="s">
        <v>224</v>
      </c>
      <c r="I45">
        <v>5439</v>
      </c>
      <c r="J45">
        <v>5439</v>
      </c>
      <c r="K45">
        <v>0</v>
      </c>
      <c r="L45" t="s">
        <v>28</v>
      </c>
      <c r="M45">
        <v>590000</v>
      </c>
      <c r="N45">
        <v>0</v>
      </c>
      <c r="O45" t="s">
        <v>29</v>
      </c>
      <c r="P45" t="s">
        <v>194</v>
      </c>
      <c r="Q45" t="s">
        <v>43</v>
      </c>
      <c r="R45" t="s">
        <v>124</v>
      </c>
      <c r="S45" t="s">
        <v>43</v>
      </c>
      <c r="V45">
        <v>108.47582276153705</v>
      </c>
      <c r="W45">
        <v>108.47582276153705</v>
      </c>
      <c r="X45">
        <f ca="1">IF(ISNUMBER(properties[[#This Row],[archivedDate]]),properties[[#This Row],[archivedDate]]-properties[[#This Row],[addedDate]],TODAY()-properties[[#This Row],[addedDate]])</f>
        <v>367</v>
      </c>
      <c r="Y45">
        <f ca="1">IF(ISNUMBER(properties[[#This Row],[archivedDate]]),properties[[#This Row],[archivedDate]]-properties[[#This Row],[addedDate]],TODAY()-properties[[#This Row],[addedDate]])</f>
        <v>367</v>
      </c>
    </row>
    <row r="46" spans="1:25" x14ac:dyDescent="0.25">
      <c r="A46" s="1">
        <v>45752</v>
      </c>
      <c r="B46" t="s">
        <v>225</v>
      </c>
      <c r="C46" t="s">
        <v>120</v>
      </c>
      <c r="D46" s="1"/>
      <c r="E46" t="s">
        <v>187</v>
      </c>
      <c r="F46">
        <v>0</v>
      </c>
      <c r="G46" t="s">
        <v>226</v>
      </c>
      <c r="H46" t="s">
        <v>227</v>
      </c>
      <c r="I46">
        <v>714</v>
      </c>
      <c r="J46">
        <v>714</v>
      </c>
      <c r="K46">
        <v>0</v>
      </c>
      <c r="L46" t="s">
        <v>28</v>
      </c>
      <c r="M46">
        <v>150000</v>
      </c>
      <c r="N46">
        <v>0</v>
      </c>
      <c r="O46" t="s">
        <v>29</v>
      </c>
      <c r="P46" t="s">
        <v>98</v>
      </c>
      <c r="Q46" t="s">
        <v>43</v>
      </c>
      <c r="R46" t="s">
        <v>124</v>
      </c>
      <c r="S46" t="s">
        <v>43</v>
      </c>
      <c r="V46">
        <v>210.08403361344537</v>
      </c>
      <c r="W46">
        <v>210.08403361344537</v>
      </c>
      <c r="X46">
        <f ca="1">IF(ISNUMBER(properties[[#This Row],[archivedDate]]),properties[[#This Row],[archivedDate]]-properties[[#This Row],[addedDate]],TODAY()-properties[[#This Row],[addedDate]])</f>
        <v>367</v>
      </c>
      <c r="Y46">
        <f ca="1">IF(ISNUMBER(properties[[#This Row],[archivedDate]]),properties[[#This Row],[archivedDate]]-properties[[#This Row],[addedDate]],TODAY()-properties[[#This Row],[addedDate]])</f>
        <v>367</v>
      </c>
    </row>
    <row r="47" spans="1:25" x14ac:dyDescent="0.25">
      <c r="A47" s="1">
        <v>45752</v>
      </c>
      <c r="B47" t="s">
        <v>228</v>
      </c>
      <c r="C47" t="s">
        <v>120</v>
      </c>
      <c r="D47" s="1"/>
      <c r="E47" t="s">
        <v>229</v>
      </c>
      <c r="F47">
        <v>0</v>
      </c>
      <c r="G47" t="s">
        <v>230</v>
      </c>
      <c r="H47" t="s">
        <v>231</v>
      </c>
      <c r="I47">
        <v>296</v>
      </c>
      <c r="J47">
        <v>180</v>
      </c>
      <c r="K47">
        <v>700000</v>
      </c>
      <c r="L47" t="s">
        <v>28</v>
      </c>
      <c r="M47">
        <v>1200000</v>
      </c>
      <c r="N47">
        <v>0</v>
      </c>
      <c r="O47" t="s">
        <v>29</v>
      </c>
      <c r="P47" t="s">
        <v>185</v>
      </c>
      <c r="Q47" t="s">
        <v>43</v>
      </c>
      <c r="R47" t="s">
        <v>124</v>
      </c>
      <c r="S47" t="s">
        <v>43</v>
      </c>
      <c r="T47">
        <v>2364.864864864865</v>
      </c>
      <c r="U47">
        <v>3888.8888888888887</v>
      </c>
      <c r="V47">
        <v>4054.0540540540542</v>
      </c>
      <c r="W47">
        <v>6666.666666666667</v>
      </c>
      <c r="X47">
        <f ca="1">IF(ISNUMBER(properties[[#This Row],[archivedDate]]),properties[[#This Row],[archivedDate]]-properties[[#This Row],[addedDate]],TODAY()-properties[[#This Row],[addedDate]])</f>
        <v>367</v>
      </c>
      <c r="Y47">
        <f ca="1">IF(ISNUMBER(properties[[#This Row],[archivedDate]]),properties[[#This Row],[archivedDate]]-properties[[#This Row],[addedDate]],TODAY()-properties[[#This Row],[addedDate]])</f>
        <v>367</v>
      </c>
    </row>
    <row r="48" spans="1:25" x14ac:dyDescent="0.25">
      <c r="A48" s="1">
        <v>45752</v>
      </c>
      <c r="B48" t="s">
        <v>232</v>
      </c>
      <c r="C48" t="s">
        <v>120</v>
      </c>
      <c r="D48" s="1">
        <v>46083</v>
      </c>
      <c r="E48" t="s">
        <v>200</v>
      </c>
      <c r="F48">
        <v>0</v>
      </c>
      <c r="G48" t="s">
        <v>233</v>
      </c>
      <c r="H48" t="s">
        <v>234</v>
      </c>
      <c r="I48">
        <v>1460</v>
      </c>
      <c r="J48">
        <v>1460</v>
      </c>
      <c r="K48">
        <v>80000</v>
      </c>
      <c r="L48" t="s">
        <v>28</v>
      </c>
      <c r="M48">
        <v>95000</v>
      </c>
      <c r="N48">
        <v>0</v>
      </c>
      <c r="O48" t="s">
        <v>103</v>
      </c>
      <c r="P48" t="s">
        <v>194</v>
      </c>
      <c r="Q48" t="s">
        <v>43</v>
      </c>
      <c r="R48" t="s">
        <v>124</v>
      </c>
      <c r="S48" t="s">
        <v>43</v>
      </c>
      <c r="T48">
        <v>54.794520547945204</v>
      </c>
      <c r="U48">
        <v>54.794520547945204</v>
      </c>
      <c r="V48">
        <v>65.06849315068493</v>
      </c>
      <c r="W48">
        <v>65.06849315068493</v>
      </c>
      <c r="X48">
        <f ca="1">IF(ISNUMBER(properties[[#This Row],[archivedDate]]),properties[[#This Row],[archivedDate]]-properties[[#This Row],[addedDate]],TODAY()-properties[[#This Row],[addedDate]])</f>
        <v>331</v>
      </c>
      <c r="Y48">
        <f ca="1">IF(ISNUMBER(properties[[#This Row],[archivedDate]]),properties[[#This Row],[archivedDate]]-properties[[#This Row],[addedDate]],TODAY()-properties[[#This Row],[addedDate]])</f>
        <v>331</v>
      </c>
    </row>
    <row r="49" spans="1:25" x14ac:dyDescent="0.25">
      <c r="A49" s="1">
        <v>45752</v>
      </c>
      <c r="B49" t="s">
        <v>235</v>
      </c>
      <c r="C49" t="s">
        <v>120</v>
      </c>
      <c r="D49" s="1"/>
      <c r="E49" t="s">
        <v>196</v>
      </c>
      <c r="F49">
        <v>0</v>
      </c>
      <c r="G49" t="s">
        <v>236</v>
      </c>
      <c r="H49" t="s">
        <v>237</v>
      </c>
      <c r="I49">
        <v>1347</v>
      </c>
      <c r="J49">
        <v>1347</v>
      </c>
      <c r="K49">
        <v>0</v>
      </c>
      <c r="L49" t="s">
        <v>28</v>
      </c>
      <c r="M49">
        <v>820000</v>
      </c>
      <c r="N49">
        <v>0</v>
      </c>
      <c r="O49" t="s">
        <v>29</v>
      </c>
      <c r="P49" t="s">
        <v>98</v>
      </c>
      <c r="Q49" t="s">
        <v>43</v>
      </c>
      <c r="R49" t="s">
        <v>124</v>
      </c>
      <c r="S49" t="s">
        <v>43</v>
      </c>
      <c r="V49">
        <v>608.7602078693393</v>
      </c>
      <c r="W49">
        <v>608.7602078693393</v>
      </c>
      <c r="X49">
        <f ca="1">IF(ISNUMBER(properties[[#This Row],[archivedDate]]),properties[[#This Row],[archivedDate]]-properties[[#This Row],[addedDate]],TODAY()-properties[[#This Row],[addedDate]])</f>
        <v>367</v>
      </c>
      <c r="Y49">
        <f ca="1">IF(ISNUMBER(properties[[#This Row],[archivedDate]]),properties[[#This Row],[archivedDate]]-properties[[#This Row],[addedDate]],TODAY()-properties[[#This Row],[addedDate]])</f>
        <v>367</v>
      </c>
    </row>
    <row r="50" spans="1:25" x14ac:dyDescent="0.25">
      <c r="A50" s="1">
        <v>45752</v>
      </c>
      <c r="B50" t="s">
        <v>238</v>
      </c>
      <c r="C50" t="s">
        <v>120</v>
      </c>
      <c r="D50" s="1">
        <v>45804</v>
      </c>
      <c r="E50" t="s">
        <v>215</v>
      </c>
      <c r="F50">
        <v>0</v>
      </c>
      <c r="G50" t="s">
        <v>239</v>
      </c>
      <c r="H50" t="s">
        <v>240</v>
      </c>
      <c r="I50">
        <v>83</v>
      </c>
      <c r="J50">
        <v>83</v>
      </c>
      <c r="K50">
        <v>0</v>
      </c>
      <c r="L50" t="s">
        <v>28</v>
      </c>
      <c r="M50">
        <v>3250000</v>
      </c>
      <c r="N50">
        <v>0</v>
      </c>
      <c r="O50" t="s">
        <v>103</v>
      </c>
      <c r="P50" t="s">
        <v>123</v>
      </c>
      <c r="Q50" t="s">
        <v>43</v>
      </c>
      <c r="R50" t="s">
        <v>124</v>
      </c>
      <c r="S50" t="s">
        <v>241</v>
      </c>
      <c r="V50">
        <v>39156.626506024098</v>
      </c>
      <c r="W50">
        <v>39156.626506024098</v>
      </c>
      <c r="X50">
        <f ca="1">IF(ISNUMBER(properties[[#This Row],[archivedDate]]),properties[[#This Row],[archivedDate]]-properties[[#This Row],[addedDate]],TODAY()-properties[[#This Row],[addedDate]])</f>
        <v>52</v>
      </c>
      <c r="Y50">
        <f ca="1">IF(ISNUMBER(properties[[#This Row],[archivedDate]]),properties[[#This Row],[archivedDate]]-properties[[#This Row],[addedDate]],TODAY()-properties[[#This Row],[addedDate]])</f>
        <v>52</v>
      </c>
    </row>
    <row r="51" spans="1:25" x14ac:dyDescent="0.25">
      <c r="A51" s="1">
        <v>45752</v>
      </c>
      <c r="B51" t="s">
        <v>242</v>
      </c>
      <c r="C51" t="s">
        <v>120</v>
      </c>
      <c r="D51" s="1">
        <v>45799</v>
      </c>
      <c r="E51" t="s">
        <v>200</v>
      </c>
      <c r="F51">
        <v>0</v>
      </c>
      <c r="G51" t="s">
        <v>243</v>
      </c>
      <c r="H51" t="s">
        <v>244</v>
      </c>
      <c r="I51">
        <v>159</v>
      </c>
      <c r="J51">
        <v>512</v>
      </c>
      <c r="K51">
        <v>0</v>
      </c>
      <c r="L51" t="s">
        <v>28</v>
      </c>
      <c r="M51">
        <v>895000</v>
      </c>
      <c r="N51">
        <v>0</v>
      </c>
      <c r="O51" t="s">
        <v>103</v>
      </c>
      <c r="P51" t="s">
        <v>30</v>
      </c>
      <c r="Q51" t="s">
        <v>43</v>
      </c>
      <c r="R51" t="s">
        <v>124</v>
      </c>
      <c r="S51" t="s">
        <v>43</v>
      </c>
      <c r="V51">
        <v>5628.9308176100631</v>
      </c>
      <c r="W51">
        <v>1748.046875</v>
      </c>
      <c r="X51">
        <f ca="1">IF(ISNUMBER(properties[[#This Row],[archivedDate]]),properties[[#This Row],[archivedDate]]-properties[[#This Row],[addedDate]],TODAY()-properties[[#This Row],[addedDate]])</f>
        <v>47</v>
      </c>
      <c r="Y51">
        <f ca="1">IF(ISNUMBER(properties[[#This Row],[archivedDate]]),properties[[#This Row],[archivedDate]]-properties[[#This Row],[addedDate]],TODAY()-properties[[#This Row],[addedDate]])</f>
        <v>47</v>
      </c>
    </row>
    <row r="52" spans="1:25" x14ac:dyDescent="0.25">
      <c r="A52" s="1">
        <v>45752</v>
      </c>
      <c r="B52" t="s">
        <v>245</v>
      </c>
      <c r="C52" t="s">
        <v>120</v>
      </c>
      <c r="D52" s="1">
        <v>45799</v>
      </c>
      <c r="E52" t="s">
        <v>211</v>
      </c>
      <c r="F52">
        <v>0</v>
      </c>
      <c r="G52" t="s">
        <v>246</v>
      </c>
      <c r="H52" t="s">
        <v>247</v>
      </c>
      <c r="I52">
        <v>101</v>
      </c>
      <c r="J52">
        <v>512</v>
      </c>
      <c r="K52">
        <v>0</v>
      </c>
      <c r="L52" t="s">
        <v>28</v>
      </c>
      <c r="M52">
        <v>3250000</v>
      </c>
      <c r="N52">
        <v>0</v>
      </c>
      <c r="O52" t="s">
        <v>103</v>
      </c>
      <c r="P52" t="s">
        <v>30</v>
      </c>
      <c r="Q52" t="s">
        <v>43</v>
      </c>
      <c r="R52" t="s">
        <v>124</v>
      </c>
      <c r="S52" t="s">
        <v>248</v>
      </c>
      <c r="V52">
        <v>32178.217821782178</v>
      </c>
      <c r="W52">
        <v>6347.65625</v>
      </c>
      <c r="X52">
        <f ca="1">IF(ISNUMBER(properties[[#This Row],[archivedDate]]),properties[[#This Row],[archivedDate]]-properties[[#This Row],[addedDate]],TODAY()-properties[[#This Row],[addedDate]])</f>
        <v>47</v>
      </c>
      <c r="Y52">
        <f ca="1">IF(ISNUMBER(properties[[#This Row],[archivedDate]]),properties[[#This Row],[archivedDate]]-properties[[#This Row],[addedDate]],TODAY()-properties[[#This Row],[addedDate]])</f>
        <v>47</v>
      </c>
    </row>
    <row r="53" spans="1:25" x14ac:dyDescent="0.25">
      <c r="A53" s="1">
        <v>45752</v>
      </c>
      <c r="B53" t="s">
        <v>249</v>
      </c>
      <c r="C53" t="s">
        <v>120</v>
      </c>
      <c r="D53" s="1">
        <v>45799</v>
      </c>
      <c r="E53" t="s">
        <v>34</v>
      </c>
      <c r="F53">
        <v>0</v>
      </c>
      <c r="G53" t="s">
        <v>250</v>
      </c>
      <c r="H53" t="s">
        <v>251</v>
      </c>
      <c r="I53">
        <v>200</v>
      </c>
      <c r="J53">
        <v>475</v>
      </c>
      <c r="K53">
        <v>0</v>
      </c>
      <c r="L53" t="s">
        <v>28</v>
      </c>
      <c r="M53">
        <v>4475000</v>
      </c>
      <c r="N53">
        <v>0</v>
      </c>
      <c r="O53" t="s">
        <v>103</v>
      </c>
      <c r="P53" t="s">
        <v>30</v>
      </c>
      <c r="Q53" t="s">
        <v>43</v>
      </c>
      <c r="R53" t="s">
        <v>124</v>
      </c>
      <c r="S53" t="s">
        <v>252</v>
      </c>
      <c r="V53">
        <v>22375</v>
      </c>
      <c r="W53">
        <v>9421.0526315789466</v>
      </c>
      <c r="X53">
        <f ca="1">IF(ISNUMBER(properties[[#This Row],[archivedDate]]),properties[[#This Row],[archivedDate]]-properties[[#This Row],[addedDate]],TODAY()-properties[[#This Row],[addedDate]])</f>
        <v>47</v>
      </c>
      <c r="Y53">
        <f ca="1">IF(ISNUMBER(properties[[#This Row],[archivedDate]]),properties[[#This Row],[archivedDate]]-properties[[#This Row],[addedDate]],TODAY()-properties[[#This Row],[addedDate]])</f>
        <v>47</v>
      </c>
    </row>
    <row r="54" spans="1:25" x14ac:dyDescent="0.25">
      <c r="A54" s="1">
        <v>45752</v>
      </c>
      <c r="B54" t="s">
        <v>253</v>
      </c>
      <c r="C54" t="s">
        <v>120</v>
      </c>
      <c r="D54" s="1">
        <v>45799</v>
      </c>
      <c r="E54" t="s">
        <v>95</v>
      </c>
      <c r="F54">
        <v>0</v>
      </c>
      <c r="G54" t="s">
        <v>254</v>
      </c>
      <c r="H54" t="s">
        <v>255</v>
      </c>
      <c r="I54">
        <v>5383</v>
      </c>
      <c r="J54">
        <v>5383</v>
      </c>
      <c r="K54">
        <v>200000</v>
      </c>
      <c r="L54" t="s">
        <v>28</v>
      </c>
      <c r="M54">
        <v>200000</v>
      </c>
      <c r="N54">
        <v>0</v>
      </c>
      <c r="O54" t="s">
        <v>103</v>
      </c>
      <c r="P54" t="s">
        <v>194</v>
      </c>
      <c r="Q54" t="s">
        <v>256</v>
      </c>
      <c r="R54" t="s">
        <v>124</v>
      </c>
      <c r="S54" t="s">
        <v>43</v>
      </c>
      <c r="T54">
        <v>37.154003343860303</v>
      </c>
      <c r="U54">
        <v>37.154003343860303</v>
      </c>
      <c r="V54">
        <v>37.154003343860303</v>
      </c>
      <c r="W54">
        <v>37.154003343860303</v>
      </c>
      <c r="X54">
        <f ca="1">IF(ISNUMBER(properties[[#This Row],[archivedDate]]),properties[[#This Row],[archivedDate]]-properties[[#This Row],[addedDate]],TODAY()-properties[[#This Row],[addedDate]])</f>
        <v>47</v>
      </c>
      <c r="Y54">
        <f ca="1">IF(ISNUMBER(properties[[#This Row],[archivedDate]]),properties[[#This Row],[archivedDate]]-properties[[#This Row],[addedDate]],TODAY()-properties[[#This Row],[addedDate]])</f>
        <v>47</v>
      </c>
    </row>
    <row r="55" spans="1:25" x14ac:dyDescent="0.25">
      <c r="A55" s="1">
        <v>45752</v>
      </c>
      <c r="B55" t="s">
        <v>257</v>
      </c>
      <c r="C55" t="s">
        <v>120</v>
      </c>
      <c r="D55" s="1">
        <v>45799</v>
      </c>
      <c r="E55" t="s">
        <v>215</v>
      </c>
      <c r="F55">
        <v>0</v>
      </c>
      <c r="G55" t="s">
        <v>258</v>
      </c>
      <c r="H55" t="s">
        <v>259</v>
      </c>
      <c r="I55">
        <v>111</v>
      </c>
      <c r="J55">
        <v>111</v>
      </c>
      <c r="K55">
        <v>0</v>
      </c>
      <c r="L55" t="s">
        <v>28</v>
      </c>
      <c r="M55">
        <v>3295000</v>
      </c>
      <c r="N55">
        <v>0</v>
      </c>
      <c r="O55" t="s">
        <v>103</v>
      </c>
      <c r="P55" t="s">
        <v>123</v>
      </c>
      <c r="Q55" t="s">
        <v>43</v>
      </c>
      <c r="R55" t="s">
        <v>124</v>
      </c>
      <c r="S55" t="s">
        <v>260</v>
      </c>
      <c r="V55">
        <v>29684.684684684686</v>
      </c>
      <c r="W55">
        <v>29684.684684684686</v>
      </c>
      <c r="X55">
        <f ca="1">IF(ISNUMBER(properties[[#This Row],[archivedDate]]),properties[[#This Row],[archivedDate]]-properties[[#This Row],[addedDate]],TODAY()-properties[[#This Row],[addedDate]])</f>
        <v>47</v>
      </c>
      <c r="Y55">
        <f ca="1">IF(ISNUMBER(properties[[#This Row],[archivedDate]]),properties[[#This Row],[archivedDate]]-properties[[#This Row],[addedDate]],TODAY()-properties[[#This Row],[addedDate]])</f>
        <v>47</v>
      </c>
    </row>
    <row r="56" spans="1:25" x14ac:dyDescent="0.25">
      <c r="A56" s="1">
        <v>45752</v>
      </c>
      <c r="B56" t="s">
        <v>261</v>
      </c>
      <c r="C56" t="s">
        <v>120</v>
      </c>
      <c r="D56" s="1">
        <v>45782</v>
      </c>
      <c r="E56" t="s">
        <v>215</v>
      </c>
      <c r="F56">
        <v>0</v>
      </c>
      <c r="G56" t="s">
        <v>262</v>
      </c>
      <c r="H56" t="s">
        <v>263</v>
      </c>
      <c r="I56">
        <v>132</v>
      </c>
      <c r="J56">
        <v>300</v>
      </c>
      <c r="K56">
        <v>0</v>
      </c>
      <c r="L56" t="s">
        <v>28</v>
      </c>
      <c r="M56">
        <v>4495000</v>
      </c>
      <c r="N56">
        <v>0</v>
      </c>
      <c r="O56" t="s">
        <v>103</v>
      </c>
      <c r="P56" t="s">
        <v>30</v>
      </c>
      <c r="Q56" t="s">
        <v>43</v>
      </c>
      <c r="R56" t="s">
        <v>124</v>
      </c>
      <c r="S56" t="s">
        <v>264</v>
      </c>
      <c r="V56">
        <v>34053.030303030304</v>
      </c>
      <c r="W56">
        <v>14983.333333333334</v>
      </c>
      <c r="X56">
        <f ca="1">IF(ISNUMBER(properties[[#This Row],[archivedDate]]),properties[[#This Row],[archivedDate]]-properties[[#This Row],[addedDate]],TODAY()-properties[[#This Row],[addedDate]])</f>
        <v>30</v>
      </c>
      <c r="Y56">
        <f ca="1">IF(ISNUMBER(properties[[#This Row],[archivedDate]]),properties[[#This Row],[archivedDate]]-properties[[#This Row],[addedDate]],TODAY()-properties[[#This Row],[addedDate]])</f>
        <v>30</v>
      </c>
    </row>
    <row r="57" spans="1:25" x14ac:dyDescent="0.25">
      <c r="A57" s="1">
        <v>45752</v>
      </c>
      <c r="B57" t="s">
        <v>265</v>
      </c>
      <c r="C57" t="s">
        <v>120</v>
      </c>
      <c r="D57" s="1">
        <v>45772</v>
      </c>
      <c r="E57" t="s">
        <v>34</v>
      </c>
      <c r="F57">
        <v>0</v>
      </c>
      <c r="G57" t="s">
        <v>266</v>
      </c>
      <c r="H57" t="s">
        <v>267</v>
      </c>
      <c r="I57">
        <v>106</v>
      </c>
      <c r="J57">
        <v>106</v>
      </c>
      <c r="K57">
        <v>0</v>
      </c>
      <c r="L57" t="s">
        <v>28</v>
      </c>
      <c r="M57">
        <v>3800000</v>
      </c>
      <c r="N57">
        <v>0</v>
      </c>
      <c r="O57" t="s">
        <v>103</v>
      </c>
      <c r="P57" t="s">
        <v>123</v>
      </c>
      <c r="Q57" t="s">
        <v>43</v>
      </c>
      <c r="R57" t="s">
        <v>124</v>
      </c>
      <c r="S57" t="s">
        <v>268</v>
      </c>
      <c r="V57">
        <v>35849.056603773584</v>
      </c>
      <c r="W57">
        <v>35849.056603773584</v>
      </c>
      <c r="X57">
        <f ca="1">IF(ISNUMBER(properties[[#This Row],[archivedDate]]),properties[[#This Row],[archivedDate]]-properties[[#This Row],[addedDate]],TODAY()-properties[[#This Row],[addedDate]])</f>
        <v>20</v>
      </c>
      <c r="Y57">
        <f ca="1">IF(ISNUMBER(properties[[#This Row],[archivedDate]]),properties[[#This Row],[archivedDate]]-properties[[#This Row],[addedDate]],TODAY()-properties[[#This Row],[addedDate]])</f>
        <v>20</v>
      </c>
    </row>
    <row r="58" spans="1:25" x14ac:dyDescent="0.25">
      <c r="A58" s="1">
        <v>45752</v>
      </c>
      <c r="B58" t="s">
        <v>269</v>
      </c>
      <c r="C58" t="s">
        <v>120</v>
      </c>
      <c r="D58" s="1">
        <v>45772</v>
      </c>
      <c r="E58" t="s">
        <v>215</v>
      </c>
      <c r="F58">
        <v>0</v>
      </c>
      <c r="G58" t="s">
        <v>270</v>
      </c>
      <c r="H58" t="s">
        <v>271</v>
      </c>
      <c r="I58">
        <v>224</v>
      </c>
      <c r="J58">
        <v>213</v>
      </c>
      <c r="K58">
        <v>0</v>
      </c>
      <c r="L58" t="s">
        <v>28</v>
      </c>
      <c r="M58">
        <v>4850000</v>
      </c>
      <c r="N58">
        <v>0</v>
      </c>
      <c r="O58" t="s">
        <v>103</v>
      </c>
      <c r="P58" t="s">
        <v>30</v>
      </c>
      <c r="Q58" t="s">
        <v>43</v>
      </c>
      <c r="R58" t="s">
        <v>124</v>
      </c>
      <c r="S58" t="s">
        <v>272</v>
      </c>
      <c r="V58">
        <v>21651.785714285714</v>
      </c>
      <c r="W58">
        <v>22769.953051643191</v>
      </c>
      <c r="X58">
        <f ca="1">IF(ISNUMBER(properties[[#This Row],[archivedDate]]),properties[[#This Row],[archivedDate]]-properties[[#This Row],[addedDate]],TODAY()-properties[[#This Row],[addedDate]])</f>
        <v>20</v>
      </c>
      <c r="Y58">
        <f ca="1">IF(ISNUMBER(properties[[#This Row],[archivedDate]]),properties[[#This Row],[archivedDate]]-properties[[#This Row],[addedDate]],TODAY()-properties[[#This Row],[addedDate]])</f>
        <v>20</v>
      </c>
    </row>
    <row r="59" spans="1:25" x14ac:dyDescent="0.25">
      <c r="A59" s="1">
        <v>45752</v>
      </c>
      <c r="B59" t="s">
        <v>273</v>
      </c>
      <c r="C59" t="s">
        <v>120</v>
      </c>
      <c r="D59" s="1">
        <v>45771</v>
      </c>
      <c r="E59" t="s">
        <v>200</v>
      </c>
      <c r="F59">
        <v>0</v>
      </c>
      <c r="G59" t="s">
        <v>274</v>
      </c>
      <c r="H59" t="s">
        <v>275</v>
      </c>
      <c r="I59">
        <v>254</v>
      </c>
      <c r="J59">
        <v>308</v>
      </c>
      <c r="K59">
        <v>0</v>
      </c>
      <c r="L59" t="s">
        <v>28</v>
      </c>
      <c r="M59">
        <v>1295000</v>
      </c>
      <c r="N59">
        <v>0</v>
      </c>
      <c r="O59" t="s">
        <v>103</v>
      </c>
      <c r="P59" t="s">
        <v>30</v>
      </c>
      <c r="Q59" t="s">
        <v>43</v>
      </c>
      <c r="R59" t="s">
        <v>124</v>
      </c>
      <c r="S59" t="s">
        <v>43</v>
      </c>
      <c r="V59">
        <v>5098.4251968503941</v>
      </c>
      <c r="W59">
        <v>4204.545454545455</v>
      </c>
      <c r="X59">
        <f ca="1">IF(ISNUMBER(properties[[#This Row],[archivedDate]]),properties[[#This Row],[archivedDate]]-properties[[#This Row],[addedDate]],TODAY()-properties[[#This Row],[addedDate]])</f>
        <v>19</v>
      </c>
      <c r="Y59">
        <f ca="1">IF(ISNUMBER(properties[[#This Row],[archivedDate]]),properties[[#This Row],[archivedDate]]-properties[[#This Row],[addedDate]],TODAY()-properties[[#This Row],[addedDate]])</f>
        <v>19</v>
      </c>
    </row>
    <row r="60" spans="1:25" x14ac:dyDescent="0.25">
      <c r="A60" s="1">
        <v>45752</v>
      </c>
      <c r="B60" t="s">
        <v>276</v>
      </c>
      <c r="C60" t="s">
        <v>120</v>
      </c>
      <c r="D60" s="1">
        <v>45771</v>
      </c>
      <c r="E60" t="s">
        <v>34</v>
      </c>
      <c r="F60">
        <v>0</v>
      </c>
      <c r="G60" t="s">
        <v>277</v>
      </c>
      <c r="H60" t="s">
        <v>278</v>
      </c>
      <c r="I60">
        <v>200</v>
      </c>
      <c r="J60">
        <v>684</v>
      </c>
      <c r="K60">
        <v>0</v>
      </c>
      <c r="L60" t="s">
        <v>28</v>
      </c>
      <c r="M60">
        <v>4300000</v>
      </c>
      <c r="N60">
        <v>0</v>
      </c>
      <c r="O60" t="s">
        <v>103</v>
      </c>
      <c r="P60" t="s">
        <v>30</v>
      </c>
      <c r="Q60" t="s">
        <v>43</v>
      </c>
      <c r="R60" t="s">
        <v>124</v>
      </c>
      <c r="S60" t="s">
        <v>279</v>
      </c>
      <c r="V60">
        <v>21500</v>
      </c>
      <c r="W60">
        <v>6286.5497076023394</v>
      </c>
      <c r="X60">
        <f ca="1">IF(ISNUMBER(properties[[#This Row],[archivedDate]]),properties[[#This Row],[archivedDate]]-properties[[#This Row],[addedDate]],TODAY()-properties[[#This Row],[addedDate]])</f>
        <v>19</v>
      </c>
      <c r="Y60">
        <f ca="1">IF(ISNUMBER(properties[[#This Row],[archivedDate]]),properties[[#This Row],[archivedDate]]-properties[[#This Row],[addedDate]],TODAY()-properties[[#This Row],[addedDate]])</f>
        <v>19</v>
      </c>
    </row>
    <row r="61" spans="1:25" x14ac:dyDescent="0.25">
      <c r="A61" s="1">
        <v>45752</v>
      </c>
      <c r="B61" t="s">
        <v>280</v>
      </c>
      <c r="C61" t="s">
        <v>120</v>
      </c>
      <c r="D61" s="1">
        <v>45762</v>
      </c>
      <c r="E61" t="s">
        <v>141</v>
      </c>
      <c r="F61">
        <v>0</v>
      </c>
      <c r="G61" t="s">
        <v>281</v>
      </c>
      <c r="H61" t="s">
        <v>282</v>
      </c>
      <c r="I61">
        <v>90</v>
      </c>
      <c r="J61">
        <v>218</v>
      </c>
      <c r="K61">
        <v>0</v>
      </c>
      <c r="L61" t="s">
        <v>28</v>
      </c>
      <c r="M61">
        <v>1100000</v>
      </c>
      <c r="N61">
        <v>0</v>
      </c>
      <c r="O61" t="s">
        <v>103</v>
      </c>
      <c r="P61" t="s">
        <v>30</v>
      </c>
      <c r="Q61" t="s">
        <v>43</v>
      </c>
      <c r="R61" t="s">
        <v>124</v>
      </c>
      <c r="S61" t="s">
        <v>43</v>
      </c>
      <c r="V61">
        <v>12222.222222222223</v>
      </c>
      <c r="W61">
        <v>5045.8715596330276</v>
      </c>
      <c r="X61">
        <f ca="1">IF(ISNUMBER(properties[[#This Row],[archivedDate]]),properties[[#This Row],[archivedDate]]-properties[[#This Row],[addedDate]],TODAY()-properties[[#This Row],[addedDate]])</f>
        <v>10</v>
      </c>
      <c r="Y61">
        <f ca="1">IF(ISNUMBER(properties[[#This Row],[archivedDate]]),properties[[#This Row],[archivedDate]]-properties[[#This Row],[addedDate]],TODAY()-properties[[#This Row],[addedDate]])</f>
        <v>10</v>
      </c>
    </row>
    <row r="62" spans="1:25" x14ac:dyDescent="0.25">
      <c r="A62" s="1">
        <v>45752</v>
      </c>
      <c r="B62" t="s">
        <v>283</v>
      </c>
      <c r="C62" t="s">
        <v>120</v>
      </c>
      <c r="D62" s="1">
        <v>45756</v>
      </c>
      <c r="E62" t="s">
        <v>215</v>
      </c>
      <c r="F62">
        <v>0</v>
      </c>
      <c r="G62" t="s">
        <v>284</v>
      </c>
      <c r="H62" t="s">
        <v>285</v>
      </c>
      <c r="I62">
        <v>83</v>
      </c>
      <c r="J62">
        <v>83</v>
      </c>
      <c r="K62">
        <v>0</v>
      </c>
      <c r="L62" t="s">
        <v>28</v>
      </c>
      <c r="M62">
        <v>3100000</v>
      </c>
      <c r="N62">
        <v>0</v>
      </c>
      <c r="O62" t="s">
        <v>103</v>
      </c>
      <c r="P62" t="s">
        <v>123</v>
      </c>
      <c r="Q62" t="s">
        <v>43</v>
      </c>
      <c r="R62" t="s">
        <v>124</v>
      </c>
      <c r="S62" t="s">
        <v>43</v>
      </c>
      <c r="V62">
        <v>37349.397590361448</v>
      </c>
      <c r="W62">
        <v>37349.397590361448</v>
      </c>
      <c r="X62">
        <f ca="1">IF(ISNUMBER(properties[[#This Row],[archivedDate]]),properties[[#This Row],[archivedDate]]-properties[[#This Row],[addedDate]],TODAY()-properties[[#This Row],[addedDate]])</f>
        <v>4</v>
      </c>
      <c r="Y62">
        <f ca="1">IF(ISNUMBER(properties[[#This Row],[archivedDate]]),properties[[#This Row],[archivedDate]]-properties[[#This Row],[addedDate]],TODAY()-properties[[#This Row],[addedDate]])</f>
        <v>4</v>
      </c>
    </row>
    <row r="63" spans="1:25" x14ac:dyDescent="0.25">
      <c r="A63" s="1">
        <v>45752</v>
      </c>
      <c r="B63" t="s">
        <v>286</v>
      </c>
      <c r="C63" t="s">
        <v>120</v>
      </c>
      <c r="D63" s="1">
        <v>45753</v>
      </c>
      <c r="E63" t="s">
        <v>287</v>
      </c>
      <c r="F63">
        <v>0</v>
      </c>
      <c r="G63" t="s">
        <v>288</v>
      </c>
      <c r="H63" t="s">
        <v>289</v>
      </c>
      <c r="I63">
        <v>210</v>
      </c>
      <c r="J63">
        <v>169</v>
      </c>
      <c r="K63">
        <v>0</v>
      </c>
      <c r="L63" t="s">
        <v>28</v>
      </c>
      <c r="M63">
        <v>4500000</v>
      </c>
      <c r="N63">
        <v>0</v>
      </c>
      <c r="O63" t="s">
        <v>103</v>
      </c>
      <c r="P63" t="s">
        <v>30</v>
      </c>
      <c r="Q63" t="s">
        <v>43</v>
      </c>
      <c r="R63" t="s">
        <v>124</v>
      </c>
      <c r="S63" t="s">
        <v>43</v>
      </c>
      <c r="V63">
        <v>21428.571428571428</v>
      </c>
      <c r="W63">
        <v>26627.218934911241</v>
      </c>
      <c r="X63">
        <f ca="1">IF(ISNUMBER(properties[[#This Row],[archivedDate]]),properties[[#This Row],[archivedDate]]-properties[[#This Row],[addedDate]],TODAY()-properties[[#This Row],[addedDate]])</f>
        <v>1</v>
      </c>
      <c r="Y63">
        <f ca="1">IF(ISNUMBER(properties[[#This Row],[archivedDate]]),properties[[#This Row],[archivedDate]]-properties[[#This Row],[addedDate]],TODAY()-properties[[#This Row],[addedDate]])</f>
        <v>1</v>
      </c>
    </row>
    <row r="64" spans="1:25" x14ac:dyDescent="0.25">
      <c r="A64" s="1">
        <v>45756</v>
      </c>
      <c r="B64" t="s">
        <v>290</v>
      </c>
      <c r="C64" t="s">
        <v>120</v>
      </c>
      <c r="D64" s="1">
        <v>45824</v>
      </c>
      <c r="E64" t="s">
        <v>215</v>
      </c>
      <c r="F64">
        <v>0</v>
      </c>
      <c r="G64" t="s">
        <v>291</v>
      </c>
      <c r="H64" t="s">
        <v>292</v>
      </c>
      <c r="I64">
        <v>165</v>
      </c>
      <c r="J64">
        <v>213</v>
      </c>
      <c r="K64">
        <v>4595000</v>
      </c>
      <c r="L64" t="s">
        <v>28</v>
      </c>
      <c r="M64">
        <v>4595000</v>
      </c>
      <c r="N64">
        <v>0</v>
      </c>
      <c r="O64" t="s">
        <v>103</v>
      </c>
      <c r="P64" t="s">
        <v>30</v>
      </c>
      <c r="Q64" t="s">
        <v>43</v>
      </c>
      <c r="R64" t="s">
        <v>124</v>
      </c>
      <c r="S64" t="s">
        <v>293</v>
      </c>
      <c r="T64">
        <v>27848.484848484848</v>
      </c>
      <c r="U64">
        <v>21572.769953051644</v>
      </c>
      <c r="V64">
        <v>27848.484848484848</v>
      </c>
      <c r="W64">
        <v>21572.769953051644</v>
      </c>
      <c r="X64">
        <f ca="1">IF(ISNUMBER(properties[[#This Row],[archivedDate]]),properties[[#This Row],[archivedDate]]-properties[[#This Row],[addedDate]],TODAY()-properties[[#This Row],[addedDate]])</f>
        <v>68</v>
      </c>
      <c r="Y64">
        <f ca="1">IF(ISNUMBER(properties[[#This Row],[archivedDate]]),properties[[#This Row],[archivedDate]]-properties[[#This Row],[addedDate]],TODAY()-properties[[#This Row],[addedDate]])</f>
        <v>68</v>
      </c>
    </row>
    <row r="65" spans="1:25" x14ac:dyDescent="0.25">
      <c r="A65" s="1">
        <v>45756</v>
      </c>
      <c r="B65" t="s">
        <v>294</v>
      </c>
      <c r="C65" t="s">
        <v>120</v>
      </c>
      <c r="D65" s="1">
        <v>45804</v>
      </c>
      <c r="E65" t="s">
        <v>90</v>
      </c>
      <c r="F65">
        <v>0</v>
      </c>
      <c r="G65" t="s">
        <v>295</v>
      </c>
      <c r="H65" t="s">
        <v>296</v>
      </c>
      <c r="I65">
        <v>150</v>
      </c>
      <c r="J65">
        <v>350</v>
      </c>
      <c r="K65">
        <v>1300000</v>
      </c>
      <c r="L65" t="s">
        <v>28</v>
      </c>
      <c r="M65">
        <v>1595000</v>
      </c>
      <c r="N65">
        <v>0</v>
      </c>
      <c r="O65" t="s">
        <v>103</v>
      </c>
      <c r="P65" t="s">
        <v>297</v>
      </c>
      <c r="Q65" t="s">
        <v>298</v>
      </c>
      <c r="R65" t="s">
        <v>124</v>
      </c>
      <c r="S65" t="s">
        <v>43</v>
      </c>
      <c r="T65">
        <v>8666.6666666666661</v>
      </c>
      <c r="U65">
        <v>3714.2857142857142</v>
      </c>
      <c r="V65">
        <v>10633.333333333334</v>
      </c>
      <c r="W65">
        <v>4557.1428571428569</v>
      </c>
      <c r="X65">
        <f ca="1">IF(ISNUMBER(properties[[#This Row],[archivedDate]]),properties[[#This Row],[archivedDate]]-properties[[#This Row],[addedDate]],TODAY()-properties[[#This Row],[addedDate]])</f>
        <v>48</v>
      </c>
      <c r="Y65">
        <f ca="1">IF(ISNUMBER(properties[[#This Row],[archivedDate]]),properties[[#This Row],[archivedDate]]-properties[[#This Row],[addedDate]],TODAY()-properties[[#This Row],[addedDate]])</f>
        <v>48</v>
      </c>
    </row>
    <row r="66" spans="1:25" x14ac:dyDescent="0.25">
      <c r="A66" s="1">
        <v>45757</v>
      </c>
      <c r="B66" t="s">
        <v>299</v>
      </c>
      <c r="C66" t="s">
        <v>24</v>
      </c>
      <c r="D66" s="1">
        <v>45940</v>
      </c>
      <c r="E66" t="s">
        <v>160</v>
      </c>
      <c r="F66">
        <v>3</v>
      </c>
      <c r="G66" t="s">
        <v>300</v>
      </c>
      <c r="H66" t="s">
        <v>301</v>
      </c>
      <c r="I66">
        <v>419</v>
      </c>
      <c r="J66">
        <v>1200</v>
      </c>
      <c r="K66">
        <v>0</v>
      </c>
      <c r="L66" t="s">
        <v>28</v>
      </c>
      <c r="M66">
        <v>17500000</v>
      </c>
      <c r="N66">
        <v>0</v>
      </c>
      <c r="O66" t="s">
        <v>103</v>
      </c>
      <c r="P66" t="s">
        <v>185</v>
      </c>
      <c r="Q66" t="s">
        <v>43</v>
      </c>
      <c r="R66" t="s">
        <v>24</v>
      </c>
      <c r="S66" t="s">
        <v>302</v>
      </c>
      <c r="V66">
        <v>41766.109785202862</v>
      </c>
      <c r="W66">
        <v>14583.333333333334</v>
      </c>
      <c r="X66">
        <f ca="1">IF(ISNUMBER(properties[[#This Row],[archivedDate]]),properties[[#This Row],[archivedDate]]-properties[[#This Row],[addedDate]],TODAY()-properties[[#This Row],[addedDate]])</f>
        <v>183</v>
      </c>
      <c r="Y66">
        <f ca="1">IF(ISNUMBER(properties[[#This Row],[archivedDate]]),properties[[#This Row],[archivedDate]]-properties[[#This Row],[addedDate]],TODAY()-properties[[#This Row],[addedDate]])</f>
        <v>183</v>
      </c>
    </row>
    <row r="67" spans="1:25" x14ac:dyDescent="0.25">
      <c r="A67" s="1">
        <v>45757</v>
      </c>
      <c r="B67" t="s">
        <v>303</v>
      </c>
      <c r="C67" t="s">
        <v>24</v>
      </c>
      <c r="D67" s="1">
        <v>45827</v>
      </c>
      <c r="E67" t="s">
        <v>176</v>
      </c>
      <c r="F67">
        <v>3</v>
      </c>
      <c r="G67" t="s">
        <v>304</v>
      </c>
      <c r="H67" t="s">
        <v>305</v>
      </c>
      <c r="I67">
        <v>162</v>
      </c>
      <c r="J67">
        <v>640</v>
      </c>
      <c r="K67">
        <v>2350000</v>
      </c>
      <c r="L67" t="s">
        <v>28</v>
      </c>
      <c r="M67">
        <v>2495000</v>
      </c>
      <c r="N67">
        <v>0</v>
      </c>
      <c r="O67" t="s">
        <v>103</v>
      </c>
      <c r="P67" t="s">
        <v>30</v>
      </c>
      <c r="Q67" t="s">
        <v>43</v>
      </c>
      <c r="R67" t="s">
        <v>24</v>
      </c>
      <c r="S67" t="s">
        <v>306</v>
      </c>
      <c r="T67">
        <v>14506.172839506173</v>
      </c>
      <c r="U67">
        <v>3671.875</v>
      </c>
      <c r="V67">
        <v>15401.234567901234</v>
      </c>
      <c r="W67">
        <v>3898.4375</v>
      </c>
      <c r="X67">
        <f ca="1">IF(ISNUMBER(properties[[#This Row],[archivedDate]]),properties[[#This Row],[archivedDate]]-properties[[#This Row],[addedDate]],TODAY()-properties[[#This Row],[addedDate]])</f>
        <v>70</v>
      </c>
      <c r="Y67">
        <f ca="1">IF(ISNUMBER(properties[[#This Row],[archivedDate]]),properties[[#This Row],[archivedDate]]-properties[[#This Row],[addedDate]],TODAY()-properties[[#This Row],[addedDate]])</f>
        <v>70</v>
      </c>
    </row>
    <row r="68" spans="1:25" x14ac:dyDescent="0.25">
      <c r="A68" s="1">
        <v>45757</v>
      </c>
      <c r="B68" t="s">
        <v>307</v>
      </c>
      <c r="C68" t="s">
        <v>24</v>
      </c>
      <c r="D68" s="1">
        <v>45768</v>
      </c>
      <c r="E68" t="s">
        <v>34</v>
      </c>
      <c r="F68">
        <v>3</v>
      </c>
      <c r="G68" t="s">
        <v>308</v>
      </c>
      <c r="H68" t="s">
        <v>309</v>
      </c>
      <c r="I68">
        <v>161</v>
      </c>
      <c r="J68">
        <v>244</v>
      </c>
      <c r="K68">
        <v>0</v>
      </c>
      <c r="L68" t="s">
        <v>28</v>
      </c>
      <c r="M68">
        <v>3595000</v>
      </c>
      <c r="N68">
        <v>0</v>
      </c>
      <c r="O68" t="s">
        <v>103</v>
      </c>
      <c r="P68" t="s">
        <v>30</v>
      </c>
      <c r="Q68" t="s">
        <v>43</v>
      </c>
      <c r="R68" t="s">
        <v>24</v>
      </c>
      <c r="S68" t="s">
        <v>310</v>
      </c>
      <c r="V68">
        <v>22329.19254658385</v>
      </c>
      <c r="W68">
        <v>14733.606557377048</v>
      </c>
      <c r="X68">
        <f ca="1">IF(ISNUMBER(properties[[#This Row],[archivedDate]]),properties[[#This Row],[archivedDate]]-properties[[#This Row],[addedDate]],TODAY()-properties[[#This Row],[addedDate]])</f>
        <v>11</v>
      </c>
      <c r="Y68">
        <f ca="1">IF(ISNUMBER(properties[[#This Row],[archivedDate]]),properties[[#This Row],[archivedDate]]-properties[[#This Row],[addedDate]],TODAY()-properties[[#This Row],[addedDate]])</f>
        <v>11</v>
      </c>
    </row>
    <row r="69" spans="1:25" x14ac:dyDescent="0.25">
      <c r="A69" s="1">
        <v>45757</v>
      </c>
      <c r="B69" t="s">
        <v>311</v>
      </c>
      <c r="C69" t="s">
        <v>24</v>
      </c>
      <c r="D69" s="1">
        <v>45856</v>
      </c>
      <c r="E69" t="s">
        <v>34</v>
      </c>
      <c r="F69">
        <v>3</v>
      </c>
      <c r="G69" t="s">
        <v>312</v>
      </c>
      <c r="H69" t="s">
        <v>313</v>
      </c>
      <c r="I69">
        <v>129</v>
      </c>
      <c r="J69">
        <v>203</v>
      </c>
      <c r="K69">
        <v>3300000</v>
      </c>
      <c r="L69" t="s">
        <v>28</v>
      </c>
      <c r="M69">
        <v>3695000</v>
      </c>
      <c r="N69">
        <v>0</v>
      </c>
      <c r="O69" t="s">
        <v>103</v>
      </c>
      <c r="P69" t="s">
        <v>108</v>
      </c>
      <c r="Q69" t="s">
        <v>43</v>
      </c>
      <c r="R69" t="s">
        <v>24</v>
      </c>
      <c r="S69" t="s">
        <v>314</v>
      </c>
      <c r="T69">
        <v>25581.39534883721</v>
      </c>
      <c r="U69">
        <v>16256.15763546798</v>
      </c>
      <c r="V69">
        <v>28643.410852713179</v>
      </c>
      <c r="W69">
        <v>18201.970443349754</v>
      </c>
      <c r="X69">
        <f ca="1">IF(ISNUMBER(properties[[#This Row],[archivedDate]]),properties[[#This Row],[archivedDate]]-properties[[#This Row],[addedDate]],TODAY()-properties[[#This Row],[addedDate]])</f>
        <v>99</v>
      </c>
      <c r="Y69">
        <f ca="1">IF(ISNUMBER(properties[[#This Row],[archivedDate]]),properties[[#This Row],[archivedDate]]-properties[[#This Row],[addedDate]],TODAY()-properties[[#This Row],[addedDate]])</f>
        <v>99</v>
      </c>
    </row>
    <row r="70" spans="1:25" x14ac:dyDescent="0.25">
      <c r="A70" s="1">
        <v>45757</v>
      </c>
      <c r="B70" t="s">
        <v>315</v>
      </c>
      <c r="C70" t="s">
        <v>24</v>
      </c>
      <c r="D70" s="1">
        <v>45784</v>
      </c>
      <c r="E70" t="s">
        <v>316</v>
      </c>
      <c r="F70">
        <v>1</v>
      </c>
      <c r="G70" t="s">
        <v>317</v>
      </c>
      <c r="H70" t="s">
        <v>318</v>
      </c>
      <c r="I70">
        <v>79</v>
      </c>
      <c r="J70">
        <v>0</v>
      </c>
      <c r="K70">
        <v>2450000</v>
      </c>
      <c r="L70" t="s">
        <v>28</v>
      </c>
      <c r="M70">
        <v>2250000</v>
      </c>
      <c r="N70">
        <v>0</v>
      </c>
      <c r="O70" t="s">
        <v>103</v>
      </c>
      <c r="P70" t="s">
        <v>75</v>
      </c>
      <c r="Q70" t="s">
        <v>319</v>
      </c>
      <c r="R70" t="s">
        <v>24</v>
      </c>
      <c r="S70" t="s">
        <v>320</v>
      </c>
      <c r="T70">
        <v>31012.6582278481</v>
      </c>
      <c r="V70">
        <v>28481.01265822785</v>
      </c>
      <c r="X70">
        <f ca="1">IF(ISNUMBER(properties[[#This Row],[archivedDate]]),properties[[#This Row],[archivedDate]]-properties[[#This Row],[addedDate]],TODAY()-properties[[#This Row],[addedDate]])</f>
        <v>27</v>
      </c>
      <c r="Y70">
        <f ca="1">IF(ISNUMBER(properties[[#This Row],[archivedDate]]),properties[[#This Row],[archivedDate]]-properties[[#This Row],[addedDate]],TODAY()-properties[[#This Row],[addedDate]])</f>
        <v>27</v>
      </c>
    </row>
    <row r="71" spans="1:25" x14ac:dyDescent="0.25">
      <c r="A71" s="1">
        <v>45757</v>
      </c>
      <c r="B71" t="s">
        <v>321</v>
      </c>
      <c r="C71" t="s">
        <v>24</v>
      </c>
      <c r="D71" s="1">
        <v>45777</v>
      </c>
      <c r="E71" t="s">
        <v>34</v>
      </c>
      <c r="F71">
        <v>0</v>
      </c>
      <c r="G71" t="s">
        <v>322</v>
      </c>
      <c r="H71" t="s">
        <v>323</v>
      </c>
      <c r="I71">
        <v>0</v>
      </c>
      <c r="J71">
        <v>603</v>
      </c>
      <c r="K71">
        <v>1800000</v>
      </c>
      <c r="L71" t="s">
        <v>28</v>
      </c>
      <c r="M71">
        <v>1800000</v>
      </c>
      <c r="N71">
        <v>0</v>
      </c>
      <c r="O71" t="s">
        <v>103</v>
      </c>
      <c r="P71" t="s">
        <v>98</v>
      </c>
      <c r="Q71" t="s">
        <v>43</v>
      </c>
      <c r="R71" t="s">
        <v>24</v>
      </c>
      <c r="S71" t="s">
        <v>43</v>
      </c>
      <c r="U71">
        <v>2985.0746268656717</v>
      </c>
      <c r="W71">
        <v>2985.0746268656717</v>
      </c>
      <c r="X71">
        <f ca="1">IF(ISNUMBER(properties[[#This Row],[archivedDate]]),properties[[#This Row],[archivedDate]]-properties[[#This Row],[addedDate]],TODAY()-properties[[#This Row],[addedDate]])</f>
        <v>20</v>
      </c>
      <c r="Y71">
        <f ca="1">IF(ISNUMBER(properties[[#This Row],[archivedDate]]),properties[[#This Row],[archivedDate]]-properties[[#This Row],[addedDate]],TODAY()-properties[[#This Row],[addedDate]])</f>
        <v>20</v>
      </c>
    </row>
    <row r="72" spans="1:25" x14ac:dyDescent="0.25">
      <c r="A72" s="1">
        <v>45757</v>
      </c>
      <c r="B72" t="s">
        <v>324</v>
      </c>
      <c r="C72" t="s">
        <v>24</v>
      </c>
      <c r="D72" s="1"/>
      <c r="E72" t="s">
        <v>196</v>
      </c>
      <c r="F72">
        <v>0</v>
      </c>
      <c r="G72" t="s">
        <v>325</v>
      </c>
      <c r="H72" t="s">
        <v>326</v>
      </c>
      <c r="I72">
        <v>0</v>
      </c>
      <c r="J72">
        <v>750</v>
      </c>
      <c r="K72">
        <v>0</v>
      </c>
      <c r="L72" t="s">
        <v>28</v>
      </c>
      <c r="M72">
        <v>250000</v>
      </c>
      <c r="N72">
        <v>0</v>
      </c>
      <c r="O72" t="s">
        <v>29</v>
      </c>
      <c r="P72" t="s">
        <v>98</v>
      </c>
      <c r="Q72" t="s">
        <v>43</v>
      </c>
      <c r="R72" t="s">
        <v>24</v>
      </c>
      <c r="S72" t="s">
        <v>43</v>
      </c>
      <c r="W72">
        <v>333.33333333333331</v>
      </c>
      <c r="X72">
        <f ca="1">IF(ISNUMBER(properties[[#This Row],[archivedDate]]),properties[[#This Row],[archivedDate]]-properties[[#This Row],[addedDate]],TODAY()-properties[[#This Row],[addedDate]])</f>
        <v>362</v>
      </c>
      <c r="Y72">
        <f ca="1">IF(ISNUMBER(properties[[#This Row],[archivedDate]]),properties[[#This Row],[archivedDate]]-properties[[#This Row],[addedDate]],TODAY()-properties[[#This Row],[addedDate]])</f>
        <v>362</v>
      </c>
    </row>
    <row r="73" spans="1:25" x14ac:dyDescent="0.25">
      <c r="A73" s="1">
        <v>45757</v>
      </c>
      <c r="B73" t="s">
        <v>327</v>
      </c>
      <c r="C73" t="s">
        <v>24</v>
      </c>
      <c r="D73" s="1">
        <v>45860</v>
      </c>
      <c r="E73" t="s">
        <v>82</v>
      </c>
      <c r="F73">
        <v>0</v>
      </c>
      <c r="G73" t="s">
        <v>328</v>
      </c>
      <c r="H73" t="s">
        <v>329</v>
      </c>
      <c r="I73">
        <v>0</v>
      </c>
      <c r="J73">
        <v>1221</v>
      </c>
      <c r="K73">
        <v>0</v>
      </c>
      <c r="L73" t="s">
        <v>28</v>
      </c>
      <c r="M73">
        <v>420000</v>
      </c>
      <c r="N73">
        <v>0</v>
      </c>
      <c r="O73" t="s">
        <v>103</v>
      </c>
      <c r="P73" t="s">
        <v>98</v>
      </c>
      <c r="Q73" t="s">
        <v>43</v>
      </c>
      <c r="R73" t="s">
        <v>24</v>
      </c>
      <c r="S73" t="s">
        <v>43</v>
      </c>
      <c r="W73">
        <v>343.980343980344</v>
      </c>
      <c r="X73">
        <f ca="1">IF(ISNUMBER(properties[[#This Row],[archivedDate]]),properties[[#This Row],[archivedDate]]-properties[[#This Row],[addedDate]],TODAY()-properties[[#This Row],[addedDate]])</f>
        <v>103</v>
      </c>
      <c r="Y73">
        <f ca="1">IF(ISNUMBER(properties[[#This Row],[archivedDate]]),properties[[#This Row],[archivedDate]]-properties[[#This Row],[addedDate]],TODAY()-properties[[#This Row],[addedDate]])</f>
        <v>103</v>
      </c>
    </row>
    <row r="74" spans="1:25" x14ac:dyDescent="0.25">
      <c r="A74" s="1">
        <v>45757</v>
      </c>
      <c r="B74" t="s">
        <v>330</v>
      </c>
      <c r="C74" t="s">
        <v>24</v>
      </c>
      <c r="D74" s="1">
        <v>45798</v>
      </c>
      <c r="E74" t="s">
        <v>331</v>
      </c>
      <c r="F74">
        <v>0</v>
      </c>
      <c r="G74" t="s">
        <v>332</v>
      </c>
      <c r="H74" t="s">
        <v>333</v>
      </c>
      <c r="I74">
        <v>0</v>
      </c>
      <c r="J74">
        <v>520</v>
      </c>
      <c r="K74">
        <v>0</v>
      </c>
      <c r="L74" t="s">
        <v>28</v>
      </c>
      <c r="M74">
        <v>295000</v>
      </c>
      <c r="N74">
        <v>0</v>
      </c>
      <c r="O74" t="s">
        <v>103</v>
      </c>
      <c r="P74" t="s">
        <v>98</v>
      </c>
      <c r="Q74" t="s">
        <v>43</v>
      </c>
      <c r="R74" t="s">
        <v>24</v>
      </c>
      <c r="S74" t="s">
        <v>43</v>
      </c>
      <c r="W74">
        <v>567.30769230769226</v>
      </c>
      <c r="X74">
        <f ca="1">IF(ISNUMBER(properties[[#This Row],[archivedDate]]),properties[[#This Row],[archivedDate]]-properties[[#This Row],[addedDate]],TODAY()-properties[[#This Row],[addedDate]])</f>
        <v>41</v>
      </c>
      <c r="Y74">
        <f ca="1">IF(ISNUMBER(properties[[#This Row],[archivedDate]]),properties[[#This Row],[archivedDate]]-properties[[#This Row],[addedDate]],TODAY()-properties[[#This Row],[addedDate]])</f>
        <v>41</v>
      </c>
    </row>
    <row r="75" spans="1:25" x14ac:dyDescent="0.25">
      <c r="A75" s="1">
        <v>45757</v>
      </c>
      <c r="B75" t="s">
        <v>334</v>
      </c>
      <c r="C75" t="s">
        <v>24</v>
      </c>
      <c r="D75" s="1"/>
      <c r="E75" t="s">
        <v>211</v>
      </c>
      <c r="F75">
        <v>0</v>
      </c>
      <c r="G75" t="s">
        <v>335</v>
      </c>
      <c r="H75" t="s">
        <v>336</v>
      </c>
      <c r="I75">
        <v>0</v>
      </c>
      <c r="J75">
        <v>501</v>
      </c>
      <c r="K75">
        <v>0</v>
      </c>
      <c r="L75" t="s">
        <v>28</v>
      </c>
      <c r="M75">
        <v>440000</v>
      </c>
      <c r="N75">
        <v>0</v>
      </c>
      <c r="O75" t="s">
        <v>29</v>
      </c>
      <c r="P75" t="s">
        <v>98</v>
      </c>
      <c r="Q75" t="s">
        <v>43</v>
      </c>
      <c r="R75" t="s">
        <v>24</v>
      </c>
      <c r="S75" t="s">
        <v>43</v>
      </c>
      <c r="W75">
        <v>878.2435129740519</v>
      </c>
      <c r="X75">
        <f ca="1">IF(ISNUMBER(properties[[#This Row],[archivedDate]]),properties[[#This Row],[archivedDate]]-properties[[#This Row],[addedDate]],TODAY()-properties[[#This Row],[addedDate]])</f>
        <v>362</v>
      </c>
      <c r="Y75">
        <f ca="1">IF(ISNUMBER(properties[[#This Row],[archivedDate]]),properties[[#This Row],[archivedDate]]-properties[[#This Row],[addedDate]],TODAY()-properties[[#This Row],[addedDate]])</f>
        <v>362</v>
      </c>
    </row>
    <row r="76" spans="1:25" x14ac:dyDescent="0.25">
      <c r="A76" s="1">
        <v>45757</v>
      </c>
      <c r="B76" t="s">
        <v>337</v>
      </c>
      <c r="C76" t="s">
        <v>24</v>
      </c>
      <c r="D76" s="1">
        <v>46098</v>
      </c>
      <c r="E76" t="s">
        <v>338</v>
      </c>
      <c r="F76">
        <v>0</v>
      </c>
      <c r="G76" t="s">
        <v>339</v>
      </c>
      <c r="H76" t="s">
        <v>340</v>
      </c>
      <c r="I76">
        <v>0</v>
      </c>
      <c r="J76">
        <v>987</v>
      </c>
      <c r="K76">
        <v>0</v>
      </c>
      <c r="L76" t="s">
        <v>28</v>
      </c>
      <c r="M76">
        <v>345000</v>
      </c>
      <c r="N76">
        <v>0</v>
      </c>
      <c r="O76" t="s">
        <v>103</v>
      </c>
      <c r="P76" t="s">
        <v>98</v>
      </c>
      <c r="Q76" t="s">
        <v>43</v>
      </c>
      <c r="R76" t="s">
        <v>24</v>
      </c>
      <c r="S76" t="s">
        <v>43</v>
      </c>
      <c r="W76">
        <v>349.54407294832828</v>
      </c>
      <c r="X76">
        <f ca="1">IF(ISNUMBER(properties[[#This Row],[archivedDate]]),properties[[#This Row],[archivedDate]]-properties[[#This Row],[addedDate]],TODAY()-properties[[#This Row],[addedDate]])</f>
        <v>341</v>
      </c>
      <c r="Y76">
        <f ca="1">IF(ISNUMBER(properties[[#This Row],[archivedDate]]),properties[[#This Row],[archivedDate]]-properties[[#This Row],[addedDate]],TODAY()-properties[[#This Row],[addedDate]])</f>
        <v>341</v>
      </c>
    </row>
    <row r="77" spans="1:25" x14ac:dyDescent="0.25">
      <c r="A77" s="1">
        <v>45757</v>
      </c>
      <c r="B77" t="s">
        <v>341</v>
      </c>
      <c r="C77" t="s">
        <v>24</v>
      </c>
      <c r="D77" s="1">
        <v>45831</v>
      </c>
      <c r="E77" t="s">
        <v>342</v>
      </c>
      <c r="F77">
        <v>0</v>
      </c>
      <c r="G77" t="s">
        <v>343</v>
      </c>
      <c r="H77" t="s">
        <v>344</v>
      </c>
      <c r="I77">
        <v>0</v>
      </c>
      <c r="J77">
        <v>14949</v>
      </c>
      <c r="K77">
        <v>0</v>
      </c>
      <c r="L77" t="s">
        <v>28</v>
      </c>
      <c r="M77">
        <v>295000</v>
      </c>
      <c r="N77">
        <v>0</v>
      </c>
      <c r="O77" t="s">
        <v>103</v>
      </c>
      <c r="P77" t="s">
        <v>194</v>
      </c>
      <c r="Q77" t="s">
        <v>43</v>
      </c>
      <c r="R77" t="s">
        <v>24</v>
      </c>
      <c r="S77" t="s">
        <v>43</v>
      </c>
      <c r="W77">
        <v>19.73376145561576</v>
      </c>
      <c r="X77">
        <f ca="1">IF(ISNUMBER(properties[[#This Row],[archivedDate]]),properties[[#This Row],[archivedDate]]-properties[[#This Row],[addedDate]],TODAY()-properties[[#This Row],[addedDate]])</f>
        <v>74</v>
      </c>
      <c r="Y77">
        <f ca="1">IF(ISNUMBER(properties[[#This Row],[archivedDate]]),properties[[#This Row],[archivedDate]]-properties[[#This Row],[addedDate]],TODAY()-properties[[#This Row],[addedDate]])</f>
        <v>74</v>
      </c>
    </row>
    <row r="78" spans="1:25" x14ac:dyDescent="0.25">
      <c r="A78" s="1">
        <v>45757</v>
      </c>
      <c r="B78" t="s">
        <v>345</v>
      </c>
      <c r="C78" t="s">
        <v>24</v>
      </c>
      <c r="D78" s="1"/>
      <c r="E78" t="s">
        <v>346</v>
      </c>
      <c r="F78">
        <v>0</v>
      </c>
      <c r="G78" t="s">
        <v>347</v>
      </c>
      <c r="H78" t="s">
        <v>348</v>
      </c>
      <c r="I78">
        <v>0</v>
      </c>
      <c r="J78">
        <v>7866</v>
      </c>
      <c r="K78">
        <v>250000</v>
      </c>
      <c r="L78" t="s">
        <v>28</v>
      </c>
      <c r="M78">
        <v>395000</v>
      </c>
      <c r="N78">
        <v>0</v>
      </c>
      <c r="O78" t="s">
        <v>29</v>
      </c>
      <c r="P78" t="s">
        <v>194</v>
      </c>
      <c r="Q78" t="s">
        <v>43</v>
      </c>
      <c r="R78" t="s">
        <v>24</v>
      </c>
      <c r="S78" t="s">
        <v>43</v>
      </c>
      <c r="U78">
        <v>31.782354436816679</v>
      </c>
      <c r="W78">
        <v>50.21612001017035</v>
      </c>
      <c r="X78">
        <f ca="1">IF(ISNUMBER(properties[[#This Row],[archivedDate]]),properties[[#This Row],[archivedDate]]-properties[[#This Row],[addedDate]],TODAY()-properties[[#This Row],[addedDate]])</f>
        <v>362</v>
      </c>
      <c r="Y78">
        <f ca="1">IF(ISNUMBER(properties[[#This Row],[archivedDate]]),properties[[#This Row],[archivedDate]]-properties[[#This Row],[addedDate]],TODAY()-properties[[#This Row],[addedDate]])</f>
        <v>362</v>
      </c>
    </row>
    <row r="79" spans="1:25" x14ac:dyDescent="0.25">
      <c r="A79" s="1">
        <v>45757</v>
      </c>
      <c r="B79" t="s">
        <v>349</v>
      </c>
      <c r="C79" t="s">
        <v>24</v>
      </c>
      <c r="D79" s="1"/>
      <c r="E79" t="s">
        <v>350</v>
      </c>
      <c r="F79">
        <v>0</v>
      </c>
      <c r="G79" t="s">
        <v>351</v>
      </c>
      <c r="H79" t="s">
        <v>352</v>
      </c>
      <c r="I79">
        <v>0</v>
      </c>
      <c r="J79">
        <v>11425</v>
      </c>
      <c r="K79">
        <v>0</v>
      </c>
      <c r="L79" t="s">
        <v>28</v>
      </c>
      <c r="M79">
        <v>750000</v>
      </c>
      <c r="N79">
        <v>0</v>
      </c>
      <c r="O79" t="s">
        <v>29</v>
      </c>
      <c r="P79" t="s">
        <v>194</v>
      </c>
      <c r="Q79" t="s">
        <v>43</v>
      </c>
      <c r="R79" t="s">
        <v>24</v>
      </c>
      <c r="S79" t="s">
        <v>43</v>
      </c>
      <c r="W79">
        <v>65.645514223194752</v>
      </c>
      <c r="X79">
        <f ca="1">IF(ISNUMBER(properties[[#This Row],[archivedDate]]),properties[[#This Row],[archivedDate]]-properties[[#This Row],[addedDate]],TODAY()-properties[[#This Row],[addedDate]])</f>
        <v>362</v>
      </c>
      <c r="Y79">
        <f ca="1">IF(ISNUMBER(properties[[#This Row],[archivedDate]]),properties[[#This Row],[archivedDate]]-properties[[#This Row],[addedDate]],TODAY()-properties[[#This Row],[addedDate]])</f>
        <v>362</v>
      </c>
    </row>
    <row r="80" spans="1:25" x14ac:dyDescent="0.25">
      <c r="A80" s="1">
        <v>45761</v>
      </c>
      <c r="B80" t="s">
        <v>353</v>
      </c>
      <c r="C80" t="s">
        <v>24</v>
      </c>
      <c r="D80" s="1">
        <v>45777</v>
      </c>
      <c r="E80" t="s">
        <v>346</v>
      </c>
      <c r="F80">
        <v>2</v>
      </c>
      <c r="G80" t="s">
        <v>354</v>
      </c>
      <c r="H80" t="s">
        <v>355</v>
      </c>
      <c r="I80">
        <v>105</v>
      </c>
      <c r="J80">
        <v>150</v>
      </c>
      <c r="K80">
        <v>1900000</v>
      </c>
      <c r="L80" t="s">
        <v>28</v>
      </c>
      <c r="M80">
        <v>1700000</v>
      </c>
      <c r="N80">
        <v>0</v>
      </c>
      <c r="O80" t="s">
        <v>103</v>
      </c>
      <c r="P80" t="s">
        <v>30</v>
      </c>
      <c r="Q80" t="s">
        <v>356</v>
      </c>
      <c r="R80" t="s">
        <v>24</v>
      </c>
      <c r="S80" t="s">
        <v>43</v>
      </c>
      <c r="T80">
        <v>18095.238095238095</v>
      </c>
      <c r="U80">
        <v>12666.666666666666</v>
      </c>
      <c r="V80">
        <v>16190.476190476191</v>
      </c>
      <c r="W80">
        <v>11333.333333333334</v>
      </c>
      <c r="X80">
        <f ca="1">IF(ISNUMBER(properties[[#This Row],[archivedDate]]),properties[[#This Row],[archivedDate]]-properties[[#This Row],[addedDate]],TODAY()-properties[[#This Row],[addedDate]])</f>
        <v>16</v>
      </c>
      <c r="Y80">
        <f ca="1">IF(ISNUMBER(properties[[#This Row],[archivedDate]]),properties[[#This Row],[archivedDate]]-properties[[#This Row],[addedDate]],TODAY()-properties[[#This Row],[addedDate]])</f>
        <v>16</v>
      </c>
    </row>
    <row r="81" spans="1:25" x14ac:dyDescent="0.25">
      <c r="A81" s="1">
        <v>45761</v>
      </c>
      <c r="B81" t="s">
        <v>357</v>
      </c>
      <c r="C81" t="s">
        <v>24</v>
      </c>
      <c r="D81" s="1">
        <v>45776</v>
      </c>
      <c r="E81" t="s">
        <v>358</v>
      </c>
      <c r="F81">
        <v>0</v>
      </c>
      <c r="G81" t="s">
        <v>359</v>
      </c>
      <c r="H81" t="s">
        <v>360</v>
      </c>
      <c r="I81">
        <v>0</v>
      </c>
      <c r="J81">
        <v>17802</v>
      </c>
      <c r="K81">
        <v>0</v>
      </c>
      <c r="L81" t="s">
        <v>28</v>
      </c>
      <c r="M81">
        <v>775000</v>
      </c>
      <c r="N81">
        <v>0</v>
      </c>
      <c r="O81" t="s">
        <v>103</v>
      </c>
      <c r="P81" t="s">
        <v>194</v>
      </c>
      <c r="Q81" t="s">
        <v>43</v>
      </c>
      <c r="R81" t="s">
        <v>24</v>
      </c>
      <c r="S81" t="s">
        <v>43</v>
      </c>
      <c r="W81">
        <v>43.534434333220986</v>
      </c>
      <c r="X81">
        <f ca="1">IF(ISNUMBER(properties[[#This Row],[archivedDate]]),properties[[#This Row],[archivedDate]]-properties[[#This Row],[addedDate]],TODAY()-properties[[#This Row],[addedDate]])</f>
        <v>15</v>
      </c>
      <c r="Y81">
        <f ca="1">IF(ISNUMBER(properties[[#This Row],[archivedDate]]),properties[[#This Row],[archivedDate]]-properties[[#This Row],[addedDate]],TODAY()-properties[[#This Row],[addedDate]])</f>
        <v>15</v>
      </c>
    </row>
    <row r="82" spans="1:25" x14ac:dyDescent="0.25">
      <c r="A82" s="1">
        <v>45761</v>
      </c>
      <c r="B82" t="s">
        <v>361</v>
      </c>
      <c r="C82" t="s">
        <v>120</v>
      </c>
      <c r="D82" s="1">
        <v>45824</v>
      </c>
      <c r="E82" t="s">
        <v>215</v>
      </c>
      <c r="F82">
        <v>0</v>
      </c>
      <c r="G82" t="s">
        <v>362</v>
      </c>
      <c r="H82" t="s">
        <v>363</v>
      </c>
      <c r="I82">
        <v>70</v>
      </c>
      <c r="J82">
        <v>70</v>
      </c>
      <c r="K82">
        <v>2750000</v>
      </c>
      <c r="L82" t="s">
        <v>28</v>
      </c>
      <c r="M82">
        <v>2750000</v>
      </c>
      <c r="N82">
        <v>0</v>
      </c>
      <c r="O82" t="s">
        <v>103</v>
      </c>
      <c r="P82" t="s">
        <v>123</v>
      </c>
      <c r="Q82" t="s">
        <v>43</v>
      </c>
      <c r="R82" t="s">
        <v>124</v>
      </c>
      <c r="S82" t="s">
        <v>43</v>
      </c>
      <c r="T82">
        <v>39285.714285714283</v>
      </c>
      <c r="U82">
        <v>39285.714285714283</v>
      </c>
      <c r="V82">
        <v>39285.714285714283</v>
      </c>
      <c r="W82">
        <v>39285.714285714283</v>
      </c>
      <c r="X82">
        <f ca="1">IF(ISNUMBER(properties[[#This Row],[archivedDate]]),properties[[#This Row],[archivedDate]]-properties[[#This Row],[addedDate]],TODAY()-properties[[#This Row],[addedDate]])</f>
        <v>63</v>
      </c>
      <c r="Y82">
        <f ca="1">IF(ISNUMBER(properties[[#This Row],[archivedDate]]),properties[[#This Row],[archivedDate]]-properties[[#This Row],[addedDate]],TODAY()-properties[[#This Row],[addedDate]])</f>
        <v>63</v>
      </c>
    </row>
    <row r="83" spans="1:25" x14ac:dyDescent="0.25">
      <c r="A83" s="1">
        <v>45762</v>
      </c>
      <c r="B83" t="s">
        <v>364</v>
      </c>
      <c r="C83" t="s">
        <v>24</v>
      </c>
      <c r="D83" s="1">
        <v>45791</v>
      </c>
      <c r="E83" t="s">
        <v>34</v>
      </c>
      <c r="F83">
        <v>2</v>
      </c>
      <c r="G83" t="s">
        <v>365</v>
      </c>
      <c r="H83" t="s">
        <v>366</v>
      </c>
      <c r="I83">
        <v>234</v>
      </c>
      <c r="J83">
        <v>655</v>
      </c>
      <c r="K83">
        <v>5300000</v>
      </c>
      <c r="L83" t="s">
        <v>28</v>
      </c>
      <c r="M83">
        <v>5695000</v>
      </c>
      <c r="N83">
        <v>0</v>
      </c>
      <c r="O83" t="s">
        <v>103</v>
      </c>
      <c r="P83" t="s">
        <v>30</v>
      </c>
      <c r="Q83" t="s">
        <v>43</v>
      </c>
      <c r="R83" t="s">
        <v>24</v>
      </c>
      <c r="S83" t="s">
        <v>367</v>
      </c>
      <c r="T83">
        <v>22649.572649572649</v>
      </c>
      <c r="U83">
        <v>8091.6030534351148</v>
      </c>
      <c r="V83">
        <v>24337.606837606836</v>
      </c>
      <c r="W83">
        <v>8694.6564885496191</v>
      </c>
      <c r="X83">
        <f ca="1">IF(ISNUMBER(properties[[#This Row],[archivedDate]]),properties[[#This Row],[archivedDate]]-properties[[#This Row],[addedDate]],TODAY()-properties[[#This Row],[addedDate]])</f>
        <v>29</v>
      </c>
      <c r="Y83">
        <f ca="1">IF(ISNUMBER(properties[[#This Row],[archivedDate]]),properties[[#This Row],[archivedDate]]-properties[[#This Row],[addedDate]],TODAY()-properties[[#This Row],[addedDate]])</f>
        <v>29</v>
      </c>
    </row>
    <row r="84" spans="1:25" x14ac:dyDescent="0.25">
      <c r="A84" s="1">
        <v>45764</v>
      </c>
      <c r="B84" t="s">
        <v>368</v>
      </c>
      <c r="C84" t="s">
        <v>120</v>
      </c>
      <c r="D84" s="1">
        <v>45811</v>
      </c>
      <c r="E84" t="s">
        <v>215</v>
      </c>
      <c r="F84">
        <v>0</v>
      </c>
      <c r="G84" t="s">
        <v>369</v>
      </c>
      <c r="H84" t="s">
        <v>370</v>
      </c>
      <c r="I84">
        <v>135</v>
      </c>
      <c r="J84">
        <v>116</v>
      </c>
      <c r="K84">
        <v>0</v>
      </c>
      <c r="L84" t="s">
        <v>28</v>
      </c>
      <c r="M84">
        <v>4850000</v>
      </c>
      <c r="N84">
        <v>0</v>
      </c>
      <c r="O84" t="s">
        <v>103</v>
      </c>
      <c r="P84" t="s">
        <v>108</v>
      </c>
      <c r="Q84" t="s">
        <v>43</v>
      </c>
      <c r="R84" t="s">
        <v>124</v>
      </c>
      <c r="S84" t="s">
        <v>43</v>
      </c>
      <c r="V84">
        <v>35925.925925925927</v>
      </c>
      <c r="W84">
        <v>41810.34482758621</v>
      </c>
      <c r="X84">
        <f ca="1">IF(ISNUMBER(properties[[#This Row],[archivedDate]]),properties[[#This Row],[archivedDate]]-properties[[#This Row],[addedDate]],TODAY()-properties[[#This Row],[addedDate]])</f>
        <v>47</v>
      </c>
      <c r="Y84">
        <f ca="1">IF(ISNUMBER(properties[[#This Row],[archivedDate]]),properties[[#This Row],[archivedDate]]-properties[[#This Row],[addedDate]],TODAY()-properties[[#This Row],[addedDate]])</f>
        <v>47</v>
      </c>
    </row>
    <row r="85" spans="1:25" x14ac:dyDescent="0.25">
      <c r="A85" s="1">
        <v>45764</v>
      </c>
      <c r="B85" t="s">
        <v>371</v>
      </c>
      <c r="C85" t="s">
        <v>372</v>
      </c>
      <c r="D85" s="1">
        <v>45772</v>
      </c>
      <c r="E85" t="s">
        <v>316</v>
      </c>
      <c r="F85">
        <v>2</v>
      </c>
      <c r="G85" t="s">
        <v>373</v>
      </c>
      <c r="H85" t="s">
        <v>374</v>
      </c>
      <c r="I85">
        <v>258</v>
      </c>
      <c r="J85">
        <v>519</v>
      </c>
      <c r="K85">
        <v>0</v>
      </c>
      <c r="L85" t="s">
        <v>28</v>
      </c>
      <c r="M85">
        <v>2695000</v>
      </c>
      <c r="N85">
        <v>0</v>
      </c>
      <c r="O85" t="s">
        <v>103</v>
      </c>
      <c r="P85" t="s">
        <v>30</v>
      </c>
      <c r="Q85" t="s">
        <v>43</v>
      </c>
      <c r="R85" t="s">
        <v>372</v>
      </c>
      <c r="S85" t="s">
        <v>43</v>
      </c>
      <c r="V85">
        <v>10445.736434108527</v>
      </c>
      <c r="W85">
        <v>5192.6782273603085</v>
      </c>
      <c r="X85">
        <f ca="1">IF(ISNUMBER(properties[[#This Row],[archivedDate]]),properties[[#This Row],[archivedDate]]-properties[[#This Row],[addedDate]],TODAY()-properties[[#This Row],[addedDate]])</f>
        <v>8</v>
      </c>
      <c r="Y85">
        <f ca="1">IF(ISNUMBER(properties[[#This Row],[archivedDate]]),properties[[#This Row],[archivedDate]]-properties[[#This Row],[addedDate]],TODAY()-properties[[#This Row],[addedDate]])</f>
        <v>8</v>
      </c>
    </row>
    <row r="86" spans="1:25" x14ac:dyDescent="0.25">
      <c r="A86" s="1">
        <v>45764</v>
      </c>
      <c r="B86" t="s">
        <v>375</v>
      </c>
      <c r="C86" t="s">
        <v>372</v>
      </c>
      <c r="D86" s="1">
        <v>45961</v>
      </c>
      <c r="E86" t="s">
        <v>165</v>
      </c>
      <c r="F86">
        <v>2</v>
      </c>
      <c r="G86" t="s">
        <v>376</v>
      </c>
      <c r="H86" t="s">
        <v>377</v>
      </c>
      <c r="I86">
        <v>155</v>
      </c>
      <c r="J86">
        <v>276</v>
      </c>
      <c r="K86">
        <v>0</v>
      </c>
      <c r="L86" t="s">
        <v>28</v>
      </c>
      <c r="M86">
        <v>1600000</v>
      </c>
      <c r="N86">
        <v>0</v>
      </c>
      <c r="O86" t="s">
        <v>103</v>
      </c>
      <c r="P86" t="s">
        <v>297</v>
      </c>
      <c r="Q86" t="s">
        <v>43</v>
      </c>
      <c r="R86" t="s">
        <v>372</v>
      </c>
      <c r="S86" t="s">
        <v>43</v>
      </c>
      <c r="V86">
        <v>10322.58064516129</v>
      </c>
      <c r="W86">
        <v>5797.101449275362</v>
      </c>
      <c r="X86">
        <f ca="1">IF(ISNUMBER(properties[[#This Row],[archivedDate]]),properties[[#This Row],[archivedDate]]-properties[[#This Row],[addedDate]],TODAY()-properties[[#This Row],[addedDate]])</f>
        <v>197</v>
      </c>
      <c r="Y86">
        <f ca="1">IF(ISNUMBER(properties[[#This Row],[archivedDate]]),properties[[#This Row],[archivedDate]]-properties[[#This Row],[addedDate]],TODAY()-properties[[#This Row],[addedDate]])</f>
        <v>197</v>
      </c>
    </row>
    <row r="87" spans="1:25" x14ac:dyDescent="0.25">
      <c r="A87" s="1">
        <v>45764</v>
      </c>
      <c r="B87" t="s">
        <v>378</v>
      </c>
      <c r="C87" t="s">
        <v>372</v>
      </c>
      <c r="D87" s="1">
        <v>45793</v>
      </c>
      <c r="E87" t="s">
        <v>58</v>
      </c>
      <c r="F87">
        <v>0</v>
      </c>
      <c r="G87" t="s">
        <v>379</v>
      </c>
      <c r="H87" t="s">
        <v>380</v>
      </c>
      <c r="I87">
        <v>0</v>
      </c>
      <c r="J87">
        <v>8515</v>
      </c>
      <c r="K87">
        <v>375000</v>
      </c>
      <c r="L87" t="s">
        <v>28</v>
      </c>
      <c r="M87">
        <v>250000</v>
      </c>
      <c r="N87">
        <v>0</v>
      </c>
      <c r="O87" t="s">
        <v>103</v>
      </c>
      <c r="P87" t="s">
        <v>194</v>
      </c>
      <c r="Q87" t="s">
        <v>43</v>
      </c>
      <c r="R87" t="s">
        <v>372</v>
      </c>
      <c r="S87" t="s">
        <v>43</v>
      </c>
      <c r="U87">
        <v>44.039929536112744</v>
      </c>
      <c r="W87">
        <v>29.35995302407516</v>
      </c>
      <c r="X87">
        <f ca="1">IF(ISNUMBER(properties[[#This Row],[archivedDate]]),properties[[#This Row],[archivedDate]]-properties[[#This Row],[addedDate]],TODAY()-properties[[#This Row],[addedDate]])</f>
        <v>29</v>
      </c>
      <c r="Y87">
        <f ca="1">IF(ISNUMBER(properties[[#This Row],[archivedDate]]),properties[[#This Row],[archivedDate]]-properties[[#This Row],[addedDate]],TODAY()-properties[[#This Row],[addedDate]])</f>
        <v>29</v>
      </c>
    </row>
    <row r="88" spans="1:25" x14ac:dyDescent="0.25">
      <c r="A88" s="1">
        <v>45764</v>
      </c>
      <c r="B88" t="s">
        <v>381</v>
      </c>
      <c r="C88" t="s">
        <v>372</v>
      </c>
      <c r="D88" s="1">
        <v>45940</v>
      </c>
      <c r="E88" t="s">
        <v>34</v>
      </c>
      <c r="F88">
        <v>3</v>
      </c>
      <c r="G88" t="s">
        <v>382</v>
      </c>
      <c r="H88" t="s">
        <v>383</v>
      </c>
      <c r="I88">
        <v>332</v>
      </c>
      <c r="J88">
        <v>179</v>
      </c>
      <c r="K88">
        <v>0</v>
      </c>
      <c r="L88" t="s">
        <v>28</v>
      </c>
      <c r="M88">
        <v>7495000</v>
      </c>
      <c r="N88">
        <v>0</v>
      </c>
      <c r="O88" t="s">
        <v>103</v>
      </c>
      <c r="P88" t="s">
        <v>185</v>
      </c>
      <c r="Q88" t="s">
        <v>43</v>
      </c>
      <c r="R88" t="s">
        <v>372</v>
      </c>
      <c r="S88" t="s">
        <v>43</v>
      </c>
      <c r="V88">
        <v>22575.301204819276</v>
      </c>
      <c r="W88">
        <v>41871.50837988827</v>
      </c>
      <c r="X88">
        <f ca="1">IF(ISNUMBER(properties[[#This Row],[archivedDate]]),properties[[#This Row],[archivedDate]]-properties[[#This Row],[addedDate]],TODAY()-properties[[#This Row],[addedDate]])</f>
        <v>176</v>
      </c>
      <c r="Y88">
        <f ca="1">IF(ISNUMBER(properties[[#This Row],[archivedDate]]),properties[[#This Row],[archivedDate]]-properties[[#This Row],[addedDate]],TODAY()-properties[[#This Row],[addedDate]])</f>
        <v>176</v>
      </c>
    </row>
    <row r="89" spans="1:25" x14ac:dyDescent="0.25">
      <c r="A89" s="1">
        <v>45764</v>
      </c>
      <c r="B89" t="s">
        <v>384</v>
      </c>
      <c r="C89" t="s">
        <v>372</v>
      </c>
      <c r="D89" s="1">
        <v>45772</v>
      </c>
      <c r="E89" t="s">
        <v>90</v>
      </c>
      <c r="F89">
        <v>0</v>
      </c>
      <c r="G89" t="s">
        <v>385</v>
      </c>
      <c r="H89" t="s">
        <v>386</v>
      </c>
      <c r="I89">
        <v>0</v>
      </c>
      <c r="J89">
        <v>629</v>
      </c>
      <c r="K89">
        <v>0</v>
      </c>
      <c r="L89" t="s">
        <v>28</v>
      </c>
      <c r="M89">
        <v>187975</v>
      </c>
      <c r="N89">
        <v>0</v>
      </c>
      <c r="O89" t="s">
        <v>103</v>
      </c>
      <c r="P89" t="s">
        <v>98</v>
      </c>
      <c r="Q89" t="s">
        <v>43</v>
      </c>
      <c r="R89" t="s">
        <v>372</v>
      </c>
      <c r="S89" t="s">
        <v>43</v>
      </c>
      <c r="W89">
        <v>298.84737678855328</v>
      </c>
      <c r="X89">
        <f ca="1">IF(ISNUMBER(properties[[#This Row],[archivedDate]]),properties[[#This Row],[archivedDate]]-properties[[#This Row],[addedDate]],TODAY()-properties[[#This Row],[addedDate]])</f>
        <v>8</v>
      </c>
      <c r="Y89">
        <f ca="1">IF(ISNUMBER(properties[[#This Row],[archivedDate]]),properties[[#This Row],[archivedDate]]-properties[[#This Row],[addedDate]],TODAY()-properties[[#This Row],[addedDate]])</f>
        <v>8</v>
      </c>
    </row>
    <row r="90" spans="1:25" x14ac:dyDescent="0.25">
      <c r="A90" s="1">
        <v>45764</v>
      </c>
      <c r="B90" t="s">
        <v>387</v>
      </c>
      <c r="C90" t="s">
        <v>372</v>
      </c>
      <c r="D90" s="1">
        <v>45772</v>
      </c>
      <c r="E90" t="s">
        <v>58</v>
      </c>
      <c r="F90">
        <v>0</v>
      </c>
      <c r="G90" t="s">
        <v>388</v>
      </c>
      <c r="H90" t="s">
        <v>389</v>
      </c>
      <c r="I90">
        <v>0</v>
      </c>
      <c r="J90">
        <v>5163</v>
      </c>
      <c r="K90">
        <v>0</v>
      </c>
      <c r="L90" t="s">
        <v>28</v>
      </c>
      <c r="M90">
        <v>600000</v>
      </c>
      <c r="N90">
        <v>0</v>
      </c>
      <c r="O90" t="s">
        <v>103</v>
      </c>
      <c r="P90" t="s">
        <v>194</v>
      </c>
      <c r="Q90" t="s">
        <v>43</v>
      </c>
      <c r="R90" t="s">
        <v>372</v>
      </c>
      <c r="S90" t="s">
        <v>43</v>
      </c>
      <c r="W90">
        <v>116.21150493898897</v>
      </c>
      <c r="X90">
        <f ca="1">IF(ISNUMBER(properties[[#This Row],[archivedDate]]),properties[[#This Row],[archivedDate]]-properties[[#This Row],[addedDate]],TODAY()-properties[[#This Row],[addedDate]])</f>
        <v>8</v>
      </c>
      <c r="Y90">
        <f ca="1">IF(ISNUMBER(properties[[#This Row],[archivedDate]]),properties[[#This Row],[archivedDate]]-properties[[#This Row],[addedDate]],TODAY()-properties[[#This Row],[addedDate]])</f>
        <v>8</v>
      </c>
    </row>
    <row r="91" spans="1:25" x14ac:dyDescent="0.25">
      <c r="A91" s="1">
        <v>45764</v>
      </c>
      <c r="B91" t="s">
        <v>390</v>
      </c>
      <c r="C91" t="s">
        <v>372</v>
      </c>
      <c r="D91" s="1">
        <v>45888</v>
      </c>
      <c r="E91" t="s">
        <v>391</v>
      </c>
      <c r="F91">
        <v>2</v>
      </c>
      <c r="G91" t="s">
        <v>392</v>
      </c>
      <c r="H91" t="s">
        <v>393</v>
      </c>
      <c r="I91">
        <v>81</v>
      </c>
      <c r="J91">
        <v>130</v>
      </c>
      <c r="K91">
        <v>1250000</v>
      </c>
      <c r="L91" t="s">
        <v>28</v>
      </c>
      <c r="M91">
        <v>1495000</v>
      </c>
      <c r="N91">
        <v>0</v>
      </c>
      <c r="O91" t="s">
        <v>103</v>
      </c>
      <c r="P91" t="s">
        <v>55</v>
      </c>
      <c r="Q91" t="s">
        <v>43</v>
      </c>
      <c r="R91" t="s">
        <v>372</v>
      </c>
      <c r="S91" t="s">
        <v>43</v>
      </c>
      <c r="T91">
        <v>15432.098765432098</v>
      </c>
      <c r="U91">
        <v>9615.3846153846152</v>
      </c>
      <c r="V91">
        <v>18456.790123456791</v>
      </c>
      <c r="W91">
        <v>11500</v>
      </c>
      <c r="X91">
        <f ca="1">IF(ISNUMBER(properties[[#This Row],[archivedDate]]),properties[[#This Row],[archivedDate]]-properties[[#This Row],[addedDate]],TODAY()-properties[[#This Row],[addedDate]])</f>
        <v>124</v>
      </c>
      <c r="Y91">
        <f ca="1">IF(ISNUMBER(properties[[#This Row],[archivedDate]]),properties[[#This Row],[archivedDate]]-properties[[#This Row],[addedDate]],TODAY()-properties[[#This Row],[addedDate]])</f>
        <v>124</v>
      </c>
    </row>
    <row r="92" spans="1:25" x14ac:dyDescent="0.25">
      <c r="A92" s="1">
        <v>45764</v>
      </c>
      <c r="B92" t="s">
        <v>394</v>
      </c>
      <c r="C92" t="s">
        <v>372</v>
      </c>
      <c r="D92" s="1">
        <v>45770</v>
      </c>
      <c r="E92" t="s">
        <v>58</v>
      </c>
      <c r="F92">
        <v>1</v>
      </c>
      <c r="G92" t="s">
        <v>395</v>
      </c>
      <c r="H92" t="s">
        <v>396</v>
      </c>
      <c r="I92">
        <v>67</v>
      </c>
      <c r="J92">
        <v>504</v>
      </c>
      <c r="K92">
        <v>1900000</v>
      </c>
      <c r="L92" t="s">
        <v>28</v>
      </c>
      <c r="M92">
        <v>1995000</v>
      </c>
      <c r="N92">
        <v>0</v>
      </c>
      <c r="O92" t="s">
        <v>103</v>
      </c>
      <c r="P92" t="s">
        <v>30</v>
      </c>
      <c r="Q92" t="s">
        <v>397</v>
      </c>
      <c r="R92" t="s">
        <v>372</v>
      </c>
      <c r="S92" t="s">
        <v>43</v>
      </c>
      <c r="T92">
        <v>28358.208955223879</v>
      </c>
      <c r="U92">
        <v>3769.8412698412699</v>
      </c>
      <c r="V92">
        <v>29776.119402985074</v>
      </c>
      <c r="W92">
        <v>3958.3333333333335</v>
      </c>
      <c r="X92">
        <f ca="1">IF(ISNUMBER(properties[[#This Row],[archivedDate]]),properties[[#This Row],[archivedDate]]-properties[[#This Row],[addedDate]],TODAY()-properties[[#This Row],[addedDate]])</f>
        <v>6</v>
      </c>
      <c r="Y92">
        <f ca="1">IF(ISNUMBER(properties[[#This Row],[archivedDate]]),properties[[#This Row],[archivedDate]]-properties[[#This Row],[addedDate]],TODAY()-properties[[#This Row],[addedDate]])</f>
        <v>6</v>
      </c>
    </row>
    <row r="93" spans="1:25" x14ac:dyDescent="0.25">
      <c r="A93" s="1">
        <v>45764</v>
      </c>
      <c r="B93" t="s">
        <v>398</v>
      </c>
      <c r="C93" t="s">
        <v>372</v>
      </c>
      <c r="D93" s="1">
        <v>46036</v>
      </c>
      <c r="E93" t="s">
        <v>82</v>
      </c>
      <c r="F93">
        <v>3</v>
      </c>
      <c r="G93" t="s">
        <v>399</v>
      </c>
      <c r="H93" t="s">
        <v>400</v>
      </c>
      <c r="I93">
        <v>102</v>
      </c>
      <c r="J93">
        <v>77</v>
      </c>
      <c r="K93">
        <v>0</v>
      </c>
      <c r="L93" t="s">
        <v>28</v>
      </c>
      <c r="M93">
        <v>1750000</v>
      </c>
      <c r="N93">
        <v>0</v>
      </c>
      <c r="O93" t="s">
        <v>103</v>
      </c>
      <c r="P93" t="s">
        <v>30</v>
      </c>
      <c r="Q93" t="s">
        <v>43</v>
      </c>
      <c r="R93" t="s">
        <v>372</v>
      </c>
      <c r="S93" t="s">
        <v>43</v>
      </c>
      <c r="V93">
        <v>17156.862745098038</v>
      </c>
      <c r="W93">
        <v>22727.272727272728</v>
      </c>
      <c r="X93">
        <f ca="1">IF(ISNUMBER(properties[[#This Row],[archivedDate]]),properties[[#This Row],[archivedDate]]-properties[[#This Row],[addedDate]],TODAY()-properties[[#This Row],[addedDate]])</f>
        <v>272</v>
      </c>
      <c r="Y93">
        <f ca="1">IF(ISNUMBER(properties[[#This Row],[archivedDate]]),properties[[#This Row],[archivedDate]]-properties[[#This Row],[addedDate]],TODAY()-properties[[#This Row],[addedDate]])</f>
        <v>272</v>
      </c>
    </row>
    <row r="94" spans="1:25" x14ac:dyDescent="0.25">
      <c r="A94" s="1">
        <v>45764</v>
      </c>
      <c r="B94" t="s">
        <v>401</v>
      </c>
      <c r="C94" t="s">
        <v>372</v>
      </c>
      <c r="D94" s="1">
        <v>45804</v>
      </c>
      <c r="E94" t="s">
        <v>160</v>
      </c>
      <c r="F94">
        <v>2</v>
      </c>
      <c r="G94" t="s">
        <v>402</v>
      </c>
      <c r="H94" t="s">
        <v>403</v>
      </c>
      <c r="I94">
        <v>172</v>
      </c>
      <c r="J94">
        <v>459</v>
      </c>
      <c r="K94">
        <v>2700000</v>
      </c>
      <c r="L94" t="s">
        <v>28</v>
      </c>
      <c r="M94">
        <v>2195000</v>
      </c>
      <c r="N94">
        <v>0</v>
      </c>
      <c r="O94" t="s">
        <v>103</v>
      </c>
      <c r="P94" t="s">
        <v>30</v>
      </c>
      <c r="Q94" t="s">
        <v>43</v>
      </c>
      <c r="R94" t="s">
        <v>372</v>
      </c>
      <c r="S94" t="s">
        <v>43</v>
      </c>
      <c r="T94">
        <v>15697.674418604651</v>
      </c>
      <c r="U94">
        <v>5882.3529411764703</v>
      </c>
      <c r="V94">
        <v>12761.627906976744</v>
      </c>
      <c r="W94">
        <v>4782.1350762527236</v>
      </c>
      <c r="X94">
        <f ca="1">IF(ISNUMBER(properties[[#This Row],[archivedDate]]),properties[[#This Row],[archivedDate]]-properties[[#This Row],[addedDate]],TODAY()-properties[[#This Row],[addedDate]])</f>
        <v>40</v>
      </c>
      <c r="Y94">
        <f ca="1">IF(ISNUMBER(properties[[#This Row],[archivedDate]]),properties[[#This Row],[archivedDate]]-properties[[#This Row],[addedDate]],TODAY()-properties[[#This Row],[addedDate]])</f>
        <v>40</v>
      </c>
    </row>
    <row r="95" spans="1:25" x14ac:dyDescent="0.25">
      <c r="A95" s="1">
        <v>45764</v>
      </c>
      <c r="B95" t="s">
        <v>404</v>
      </c>
      <c r="C95" t="s">
        <v>372</v>
      </c>
      <c r="D95" s="1">
        <v>45835</v>
      </c>
      <c r="E95" t="s">
        <v>405</v>
      </c>
      <c r="F95">
        <v>3</v>
      </c>
      <c r="G95" t="s">
        <v>406</v>
      </c>
      <c r="H95" t="s">
        <v>407</v>
      </c>
      <c r="I95">
        <v>245</v>
      </c>
      <c r="J95">
        <v>588</v>
      </c>
      <c r="K95">
        <v>2550000</v>
      </c>
      <c r="L95" t="s">
        <v>28</v>
      </c>
      <c r="M95">
        <v>2495000</v>
      </c>
      <c r="N95">
        <v>0</v>
      </c>
      <c r="O95" t="s">
        <v>103</v>
      </c>
      <c r="P95" t="s">
        <v>30</v>
      </c>
      <c r="Q95" t="s">
        <v>43</v>
      </c>
      <c r="R95" t="s">
        <v>372</v>
      </c>
      <c r="S95" t="s">
        <v>43</v>
      </c>
      <c r="T95">
        <v>10408.163265306122</v>
      </c>
      <c r="U95">
        <v>4336.7346938775509</v>
      </c>
      <c r="V95">
        <v>10183.673469387755</v>
      </c>
      <c r="W95">
        <v>4243.1972789115644</v>
      </c>
      <c r="X95">
        <f ca="1">IF(ISNUMBER(properties[[#This Row],[archivedDate]]),properties[[#This Row],[archivedDate]]-properties[[#This Row],[addedDate]],TODAY()-properties[[#This Row],[addedDate]])</f>
        <v>71</v>
      </c>
      <c r="Y95">
        <f ca="1">IF(ISNUMBER(properties[[#This Row],[archivedDate]]),properties[[#This Row],[archivedDate]]-properties[[#This Row],[addedDate]],TODAY()-properties[[#This Row],[addedDate]])</f>
        <v>71</v>
      </c>
    </row>
    <row r="96" spans="1:25" x14ac:dyDescent="0.25">
      <c r="A96" s="1">
        <v>45764</v>
      </c>
      <c r="B96" t="s">
        <v>408</v>
      </c>
      <c r="C96" t="s">
        <v>372</v>
      </c>
      <c r="D96" s="1">
        <v>45799</v>
      </c>
      <c r="E96" t="s">
        <v>405</v>
      </c>
      <c r="F96">
        <v>2</v>
      </c>
      <c r="G96" t="s">
        <v>409</v>
      </c>
      <c r="H96" t="s">
        <v>410</v>
      </c>
      <c r="I96">
        <v>124</v>
      </c>
      <c r="J96">
        <v>286</v>
      </c>
      <c r="K96">
        <v>2650000</v>
      </c>
      <c r="L96" t="s">
        <v>28</v>
      </c>
      <c r="M96">
        <v>2195000</v>
      </c>
      <c r="N96">
        <v>0</v>
      </c>
      <c r="O96" t="s">
        <v>103</v>
      </c>
      <c r="P96" t="s">
        <v>30</v>
      </c>
      <c r="Q96" t="s">
        <v>43</v>
      </c>
      <c r="R96" t="s">
        <v>372</v>
      </c>
      <c r="S96" t="s">
        <v>43</v>
      </c>
      <c r="T96">
        <v>21370.967741935485</v>
      </c>
      <c r="U96">
        <v>9265.7342657342651</v>
      </c>
      <c r="V96">
        <v>17701.612903225807</v>
      </c>
      <c r="W96">
        <v>7674.8251748251751</v>
      </c>
      <c r="X96">
        <f ca="1">IF(ISNUMBER(properties[[#This Row],[archivedDate]]),properties[[#This Row],[archivedDate]]-properties[[#This Row],[addedDate]],TODAY()-properties[[#This Row],[addedDate]])</f>
        <v>35</v>
      </c>
      <c r="Y96">
        <f ca="1">IF(ISNUMBER(properties[[#This Row],[archivedDate]]),properties[[#This Row],[archivedDate]]-properties[[#This Row],[addedDate]],TODAY()-properties[[#This Row],[addedDate]])</f>
        <v>35</v>
      </c>
    </row>
    <row r="97" spans="1:25" x14ac:dyDescent="0.25">
      <c r="A97" s="1">
        <v>45764</v>
      </c>
      <c r="B97" t="s">
        <v>411</v>
      </c>
      <c r="C97" t="s">
        <v>372</v>
      </c>
      <c r="D97" s="1">
        <v>45776</v>
      </c>
      <c r="E97" t="s">
        <v>350</v>
      </c>
      <c r="F97">
        <v>2</v>
      </c>
      <c r="G97" t="s">
        <v>412</v>
      </c>
      <c r="H97" t="s">
        <v>413</v>
      </c>
      <c r="I97">
        <v>226</v>
      </c>
      <c r="J97">
        <v>718</v>
      </c>
      <c r="K97">
        <v>0</v>
      </c>
      <c r="L97" t="s">
        <v>28</v>
      </c>
      <c r="M97">
        <v>2000000</v>
      </c>
      <c r="N97">
        <v>0</v>
      </c>
      <c r="O97" t="s">
        <v>103</v>
      </c>
      <c r="P97" t="s">
        <v>30</v>
      </c>
      <c r="Q97" t="s">
        <v>43</v>
      </c>
      <c r="R97" t="s">
        <v>372</v>
      </c>
      <c r="S97" t="s">
        <v>43</v>
      </c>
      <c r="V97">
        <v>8849.5575221238942</v>
      </c>
      <c r="W97">
        <v>2785.515320334262</v>
      </c>
      <c r="X97">
        <f ca="1">IF(ISNUMBER(properties[[#This Row],[archivedDate]]),properties[[#This Row],[archivedDate]]-properties[[#This Row],[addedDate]],TODAY()-properties[[#This Row],[addedDate]])</f>
        <v>12</v>
      </c>
      <c r="Y97">
        <f ca="1">IF(ISNUMBER(properties[[#This Row],[archivedDate]]),properties[[#This Row],[archivedDate]]-properties[[#This Row],[addedDate]],TODAY()-properties[[#This Row],[addedDate]])</f>
        <v>12</v>
      </c>
    </row>
    <row r="98" spans="1:25" x14ac:dyDescent="0.25">
      <c r="A98" s="1">
        <v>45764</v>
      </c>
      <c r="B98" t="s">
        <v>414</v>
      </c>
      <c r="C98" t="s">
        <v>372</v>
      </c>
      <c r="D98" s="1">
        <v>45988</v>
      </c>
      <c r="E98" t="s">
        <v>191</v>
      </c>
      <c r="F98">
        <v>3</v>
      </c>
      <c r="G98" t="s">
        <v>415</v>
      </c>
      <c r="H98" t="s">
        <v>416</v>
      </c>
      <c r="I98">
        <v>210</v>
      </c>
      <c r="J98">
        <v>500</v>
      </c>
      <c r="K98">
        <v>2500000</v>
      </c>
      <c r="L98" t="s">
        <v>28</v>
      </c>
      <c r="M98">
        <v>3195000</v>
      </c>
      <c r="N98">
        <v>0</v>
      </c>
      <c r="O98" t="s">
        <v>103</v>
      </c>
      <c r="P98" t="s">
        <v>30</v>
      </c>
      <c r="Q98" t="s">
        <v>43</v>
      </c>
      <c r="R98" t="s">
        <v>372</v>
      </c>
      <c r="S98" t="s">
        <v>43</v>
      </c>
      <c r="T98">
        <v>11904.761904761905</v>
      </c>
      <c r="U98">
        <v>5000</v>
      </c>
      <c r="V98">
        <v>15214.285714285714</v>
      </c>
      <c r="W98">
        <v>6390</v>
      </c>
      <c r="X98">
        <f ca="1">IF(ISNUMBER(properties[[#This Row],[archivedDate]]),properties[[#This Row],[archivedDate]]-properties[[#This Row],[addedDate]],TODAY()-properties[[#This Row],[addedDate]])</f>
        <v>224</v>
      </c>
      <c r="Y98">
        <f ca="1">IF(ISNUMBER(properties[[#This Row],[archivedDate]]),properties[[#This Row],[archivedDate]]-properties[[#This Row],[addedDate]],TODAY()-properties[[#This Row],[addedDate]])</f>
        <v>224</v>
      </c>
    </row>
    <row r="99" spans="1:25" x14ac:dyDescent="0.25">
      <c r="A99" s="1">
        <v>45764</v>
      </c>
      <c r="B99" t="s">
        <v>417</v>
      </c>
      <c r="C99" t="s">
        <v>372</v>
      </c>
      <c r="D99" s="1">
        <v>45786</v>
      </c>
      <c r="E99" t="s">
        <v>200</v>
      </c>
      <c r="F99">
        <v>3</v>
      </c>
      <c r="G99" t="s">
        <v>418</v>
      </c>
      <c r="H99" t="s">
        <v>419</v>
      </c>
      <c r="I99">
        <v>123</v>
      </c>
      <c r="J99">
        <v>529</v>
      </c>
      <c r="K99">
        <v>475000</v>
      </c>
      <c r="L99" t="s">
        <v>28</v>
      </c>
      <c r="M99">
        <v>550000</v>
      </c>
      <c r="N99">
        <v>0</v>
      </c>
      <c r="O99" t="s">
        <v>103</v>
      </c>
      <c r="P99" t="s">
        <v>30</v>
      </c>
      <c r="Q99" t="s">
        <v>43</v>
      </c>
      <c r="R99" t="s">
        <v>372</v>
      </c>
      <c r="S99" t="s">
        <v>43</v>
      </c>
      <c r="T99">
        <v>3861.7886178861791</v>
      </c>
      <c r="U99">
        <v>897.92060491493385</v>
      </c>
      <c r="V99">
        <v>4471.5447154471549</v>
      </c>
      <c r="W99">
        <v>1039.6975425330813</v>
      </c>
      <c r="X99">
        <f ca="1">IF(ISNUMBER(properties[[#This Row],[archivedDate]]),properties[[#This Row],[archivedDate]]-properties[[#This Row],[addedDate]],TODAY()-properties[[#This Row],[addedDate]])</f>
        <v>22</v>
      </c>
      <c r="Y99">
        <f ca="1">IF(ISNUMBER(properties[[#This Row],[archivedDate]]),properties[[#This Row],[archivedDate]]-properties[[#This Row],[addedDate]],TODAY()-properties[[#This Row],[addedDate]])</f>
        <v>22</v>
      </c>
    </row>
    <row r="100" spans="1:25" x14ac:dyDescent="0.25">
      <c r="A100" s="1">
        <v>45764</v>
      </c>
      <c r="B100" t="s">
        <v>420</v>
      </c>
      <c r="C100" t="s">
        <v>372</v>
      </c>
      <c r="D100" s="1">
        <v>45821</v>
      </c>
      <c r="E100" t="s">
        <v>34</v>
      </c>
      <c r="F100">
        <v>4</v>
      </c>
      <c r="G100" t="s">
        <v>421</v>
      </c>
      <c r="H100" t="s">
        <v>422</v>
      </c>
      <c r="I100">
        <v>227</v>
      </c>
      <c r="J100">
        <v>317</v>
      </c>
      <c r="K100">
        <v>5000000</v>
      </c>
      <c r="L100" t="s">
        <v>28</v>
      </c>
      <c r="M100">
        <v>4995000</v>
      </c>
      <c r="N100">
        <v>0</v>
      </c>
      <c r="O100" t="s">
        <v>103</v>
      </c>
      <c r="P100" t="s">
        <v>30</v>
      </c>
      <c r="Q100" t="s">
        <v>43</v>
      </c>
      <c r="R100" t="s">
        <v>372</v>
      </c>
      <c r="S100" t="s">
        <v>43</v>
      </c>
      <c r="T100">
        <v>22026.431718061674</v>
      </c>
      <c r="U100">
        <v>15772.870662460567</v>
      </c>
      <c r="V100">
        <v>22004.405286343612</v>
      </c>
      <c r="W100">
        <v>15757.097791798107</v>
      </c>
      <c r="X100">
        <f ca="1">IF(ISNUMBER(properties[[#This Row],[archivedDate]]),properties[[#This Row],[archivedDate]]-properties[[#This Row],[addedDate]],TODAY()-properties[[#This Row],[addedDate]])</f>
        <v>57</v>
      </c>
      <c r="Y100">
        <f ca="1">IF(ISNUMBER(properties[[#This Row],[archivedDate]]),properties[[#This Row],[archivedDate]]-properties[[#This Row],[addedDate]],TODAY()-properties[[#This Row],[addedDate]])</f>
        <v>57</v>
      </c>
    </row>
    <row r="101" spans="1:25" x14ac:dyDescent="0.25">
      <c r="A101" s="1">
        <v>45764</v>
      </c>
      <c r="B101" t="s">
        <v>423</v>
      </c>
      <c r="C101" t="s">
        <v>372</v>
      </c>
      <c r="D101" s="1">
        <v>45898</v>
      </c>
      <c r="E101" t="s">
        <v>34</v>
      </c>
      <c r="F101">
        <v>1</v>
      </c>
      <c r="G101" t="s">
        <v>424</v>
      </c>
      <c r="H101" t="s">
        <v>425</v>
      </c>
      <c r="I101">
        <v>78</v>
      </c>
      <c r="J101">
        <v>87</v>
      </c>
      <c r="K101">
        <v>0</v>
      </c>
      <c r="L101" t="s">
        <v>28</v>
      </c>
      <c r="M101">
        <v>4800000</v>
      </c>
      <c r="N101">
        <v>0</v>
      </c>
      <c r="O101" t="s">
        <v>103</v>
      </c>
      <c r="P101" t="s">
        <v>30</v>
      </c>
      <c r="Q101" t="s">
        <v>43</v>
      </c>
      <c r="R101" t="s">
        <v>372</v>
      </c>
      <c r="S101" t="s">
        <v>43</v>
      </c>
      <c r="V101">
        <v>61538.461538461539</v>
      </c>
      <c r="W101">
        <v>55172.413793103449</v>
      </c>
      <c r="X101">
        <f ca="1">IF(ISNUMBER(properties[[#This Row],[archivedDate]]),properties[[#This Row],[archivedDate]]-properties[[#This Row],[addedDate]],TODAY()-properties[[#This Row],[addedDate]])</f>
        <v>134</v>
      </c>
      <c r="Y101">
        <f ca="1">IF(ISNUMBER(properties[[#This Row],[archivedDate]]),properties[[#This Row],[archivedDate]]-properties[[#This Row],[addedDate]],TODAY()-properties[[#This Row],[addedDate]])</f>
        <v>134</v>
      </c>
    </row>
    <row r="102" spans="1:25" x14ac:dyDescent="0.25">
      <c r="A102" s="1">
        <v>45764</v>
      </c>
      <c r="B102" t="s">
        <v>426</v>
      </c>
      <c r="C102" t="s">
        <v>372</v>
      </c>
      <c r="D102" s="1">
        <v>45826</v>
      </c>
      <c r="E102" t="s">
        <v>90</v>
      </c>
      <c r="F102">
        <v>1</v>
      </c>
      <c r="G102" t="s">
        <v>427</v>
      </c>
      <c r="H102" t="s">
        <v>428</v>
      </c>
      <c r="I102">
        <v>147</v>
      </c>
      <c r="J102">
        <v>604</v>
      </c>
      <c r="K102">
        <v>0</v>
      </c>
      <c r="L102" t="s">
        <v>28</v>
      </c>
      <c r="M102">
        <v>3195000</v>
      </c>
      <c r="N102">
        <v>0</v>
      </c>
      <c r="O102" t="s">
        <v>103</v>
      </c>
      <c r="P102" t="s">
        <v>30</v>
      </c>
      <c r="Q102" t="s">
        <v>43</v>
      </c>
      <c r="R102" t="s">
        <v>372</v>
      </c>
      <c r="S102" t="s">
        <v>43</v>
      </c>
      <c r="V102">
        <v>21734.693877551021</v>
      </c>
      <c r="W102">
        <v>5289.7350993377486</v>
      </c>
      <c r="X102">
        <f ca="1">IF(ISNUMBER(properties[[#This Row],[archivedDate]]),properties[[#This Row],[archivedDate]]-properties[[#This Row],[addedDate]],TODAY()-properties[[#This Row],[addedDate]])</f>
        <v>62</v>
      </c>
      <c r="Y102">
        <f ca="1">IF(ISNUMBER(properties[[#This Row],[archivedDate]]),properties[[#This Row],[archivedDate]]-properties[[#This Row],[addedDate]],TODAY()-properties[[#This Row],[addedDate]])</f>
        <v>62</v>
      </c>
    </row>
    <row r="103" spans="1:25" x14ac:dyDescent="0.25">
      <c r="A103" s="1">
        <v>45764</v>
      </c>
      <c r="B103" t="s">
        <v>429</v>
      </c>
      <c r="C103" t="s">
        <v>372</v>
      </c>
      <c r="D103" s="1">
        <v>46050</v>
      </c>
      <c r="E103" t="s">
        <v>95</v>
      </c>
      <c r="F103">
        <v>2</v>
      </c>
      <c r="G103" t="s">
        <v>430</v>
      </c>
      <c r="H103" t="s">
        <v>431</v>
      </c>
      <c r="I103">
        <v>270</v>
      </c>
      <c r="J103">
        <v>494</v>
      </c>
      <c r="K103">
        <v>2925000</v>
      </c>
      <c r="L103" t="s">
        <v>28</v>
      </c>
      <c r="M103">
        <v>2995000</v>
      </c>
      <c r="N103">
        <v>0</v>
      </c>
      <c r="O103" t="s">
        <v>103</v>
      </c>
      <c r="P103" t="s">
        <v>30</v>
      </c>
      <c r="Q103" t="s">
        <v>43</v>
      </c>
      <c r="R103" t="s">
        <v>372</v>
      </c>
      <c r="S103" t="s">
        <v>43</v>
      </c>
      <c r="T103">
        <v>10833.333333333334</v>
      </c>
      <c r="U103">
        <v>5921.0526315789475</v>
      </c>
      <c r="V103">
        <v>11092.592592592593</v>
      </c>
      <c r="W103">
        <v>6062.7530364372469</v>
      </c>
      <c r="X103">
        <f ca="1">IF(ISNUMBER(properties[[#This Row],[archivedDate]]),properties[[#This Row],[archivedDate]]-properties[[#This Row],[addedDate]],TODAY()-properties[[#This Row],[addedDate]])</f>
        <v>286</v>
      </c>
      <c r="Y103">
        <f ca="1">IF(ISNUMBER(properties[[#This Row],[archivedDate]]),properties[[#This Row],[archivedDate]]-properties[[#This Row],[addedDate]],TODAY()-properties[[#This Row],[addedDate]])</f>
        <v>286</v>
      </c>
    </row>
    <row r="104" spans="1:25" x14ac:dyDescent="0.25">
      <c r="A104" s="1">
        <v>45764</v>
      </c>
      <c r="B104" t="s">
        <v>432</v>
      </c>
      <c r="C104" t="s">
        <v>372</v>
      </c>
      <c r="D104" s="1">
        <v>45796</v>
      </c>
      <c r="E104" t="s">
        <v>316</v>
      </c>
      <c r="F104">
        <v>2</v>
      </c>
      <c r="G104" t="s">
        <v>433</v>
      </c>
      <c r="H104" t="s">
        <v>434</v>
      </c>
      <c r="I104">
        <v>262</v>
      </c>
      <c r="J104">
        <v>685</v>
      </c>
      <c r="K104">
        <v>3050000</v>
      </c>
      <c r="L104" t="s">
        <v>28</v>
      </c>
      <c r="M104">
        <v>3600000</v>
      </c>
      <c r="N104">
        <v>0</v>
      </c>
      <c r="O104" t="s">
        <v>103</v>
      </c>
      <c r="P104" t="s">
        <v>30</v>
      </c>
      <c r="Q104" t="s">
        <v>43</v>
      </c>
      <c r="R104" t="s">
        <v>372</v>
      </c>
      <c r="S104" t="s">
        <v>43</v>
      </c>
      <c r="T104">
        <v>11641.221374045801</v>
      </c>
      <c r="U104">
        <v>4452.554744525547</v>
      </c>
      <c r="V104">
        <v>13740.458015267175</v>
      </c>
      <c r="W104">
        <v>5255.4744525547449</v>
      </c>
      <c r="X104">
        <f ca="1">IF(ISNUMBER(properties[[#This Row],[archivedDate]]),properties[[#This Row],[archivedDate]]-properties[[#This Row],[addedDate]],TODAY()-properties[[#This Row],[addedDate]])</f>
        <v>32</v>
      </c>
      <c r="Y104">
        <f ca="1">IF(ISNUMBER(properties[[#This Row],[archivedDate]]),properties[[#This Row],[archivedDate]]-properties[[#This Row],[addedDate]],TODAY()-properties[[#This Row],[addedDate]])</f>
        <v>32</v>
      </c>
    </row>
    <row r="105" spans="1:25" x14ac:dyDescent="0.25">
      <c r="A105" s="1">
        <v>45764</v>
      </c>
      <c r="B105" t="s">
        <v>435</v>
      </c>
      <c r="C105" t="s">
        <v>372</v>
      </c>
      <c r="D105" s="1">
        <v>45812</v>
      </c>
      <c r="E105" t="s">
        <v>200</v>
      </c>
      <c r="F105">
        <v>2</v>
      </c>
      <c r="G105" t="s">
        <v>436</v>
      </c>
      <c r="H105" t="s">
        <v>437</v>
      </c>
      <c r="I105">
        <v>258</v>
      </c>
      <c r="J105">
        <v>736</v>
      </c>
      <c r="K105">
        <v>0</v>
      </c>
      <c r="L105" t="s">
        <v>28</v>
      </c>
      <c r="M105">
        <v>2000000</v>
      </c>
      <c r="N105">
        <v>0</v>
      </c>
      <c r="O105" t="s">
        <v>103</v>
      </c>
      <c r="P105" t="s">
        <v>30</v>
      </c>
      <c r="Q105" t="s">
        <v>43</v>
      </c>
      <c r="R105" t="s">
        <v>372</v>
      </c>
      <c r="S105" t="s">
        <v>43</v>
      </c>
      <c r="V105">
        <v>7751.937984496124</v>
      </c>
      <c r="W105">
        <v>2717.391304347826</v>
      </c>
      <c r="X105">
        <f ca="1">IF(ISNUMBER(properties[[#This Row],[archivedDate]]),properties[[#This Row],[archivedDate]]-properties[[#This Row],[addedDate]],TODAY()-properties[[#This Row],[addedDate]])</f>
        <v>48</v>
      </c>
      <c r="Y105">
        <f ca="1">IF(ISNUMBER(properties[[#This Row],[archivedDate]]),properties[[#This Row],[archivedDate]]-properties[[#This Row],[addedDate]],TODAY()-properties[[#This Row],[addedDate]])</f>
        <v>48</v>
      </c>
    </row>
    <row r="106" spans="1:25" x14ac:dyDescent="0.25">
      <c r="A106" s="1">
        <v>45764</v>
      </c>
      <c r="B106" t="s">
        <v>438</v>
      </c>
      <c r="C106" t="s">
        <v>372</v>
      </c>
      <c r="D106" s="1">
        <v>45806</v>
      </c>
      <c r="E106" t="s">
        <v>439</v>
      </c>
      <c r="F106">
        <v>2</v>
      </c>
      <c r="G106" t="s">
        <v>440</v>
      </c>
      <c r="H106" t="s">
        <v>441</v>
      </c>
      <c r="I106">
        <v>35</v>
      </c>
      <c r="J106">
        <v>19</v>
      </c>
      <c r="K106">
        <v>950000</v>
      </c>
      <c r="L106" t="s">
        <v>28</v>
      </c>
      <c r="M106">
        <v>1200000</v>
      </c>
      <c r="N106">
        <v>0</v>
      </c>
      <c r="O106" t="s">
        <v>103</v>
      </c>
      <c r="P106" t="s">
        <v>30</v>
      </c>
      <c r="Q106" t="s">
        <v>43</v>
      </c>
      <c r="R106" t="s">
        <v>372</v>
      </c>
      <c r="S106" t="s">
        <v>43</v>
      </c>
      <c r="T106">
        <v>27142.857142857141</v>
      </c>
      <c r="U106">
        <v>50000</v>
      </c>
      <c r="V106">
        <v>34285.714285714283</v>
      </c>
      <c r="W106">
        <v>63157.894736842107</v>
      </c>
      <c r="X106">
        <f ca="1">IF(ISNUMBER(properties[[#This Row],[archivedDate]]),properties[[#This Row],[archivedDate]]-properties[[#This Row],[addedDate]],TODAY()-properties[[#This Row],[addedDate]])</f>
        <v>42</v>
      </c>
      <c r="Y106">
        <f ca="1">IF(ISNUMBER(properties[[#This Row],[archivedDate]]),properties[[#This Row],[archivedDate]]-properties[[#This Row],[addedDate]],TODAY()-properties[[#This Row],[addedDate]])</f>
        <v>42</v>
      </c>
    </row>
    <row r="107" spans="1:25" x14ac:dyDescent="0.25">
      <c r="A107" s="1">
        <v>45764</v>
      </c>
      <c r="B107" t="s">
        <v>442</v>
      </c>
      <c r="C107" t="s">
        <v>372</v>
      </c>
      <c r="D107" s="1">
        <v>45832</v>
      </c>
      <c r="E107" t="s">
        <v>443</v>
      </c>
      <c r="F107">
        <v>3</v>
      </c>
      <c r="G107" t="s">
        <v>444</v>
      </c>
      <c r="H107" t="s">
        <v>445</v>
      </c>
      <c r="I107">
        <v>142</v>
      </c>
      <c r="J107">
        <v>366</v>
      </c>
      <c r="K107">
        <v>620000</v>
      </c>
      <c r="L107" t="s">
        <v>28</v>
      </c>
      <c r="M107">
        <v>850000</v>
      </c>
      <c r="N107">
        <v>0</v>
      </c>
      <c r="O107" t="s">
        <v>103</v>
      </c>
      <c r="P107" t="s">
        <v>30</v>
      </c>
      <c r="Q107" t="s">
        <v>43</v>
      </c>
      <c r="R107" t="s">
        <v>372</v>
      </c>
      <c r="S107" t="s">
        <v>43</v>
      </c>
      <c r="T107">
        <v>4366.1971830985913</v>
      </c>
      <c r="U107">
        <v>1693.9890710382513</v>
      </c>
      <c r="V107">
        <v>5985.9154929577462</v>
      </c>
      <c r="W107">
        <v>2322.4043715846997</v>
      </c>
      <c r="X107">
        <f ca="1">IF(ISNUMBER(properties[[#This Row],[archivedDate]]),properties[[#This Row],[archivedDate]]-properties[[#This Row],[addedDate]],TODAY()-properties[[#This Row],[addedDate]])</f>
        <v>68</v>
      </c>
      <c r="Y107">
        <f ca="1">IF(ISNUMBER(properties[[#This Row],[archivedDate]]),properties[[#This Row],[archivedDate]]-properties[[#This Row],[addedDate]],TODAY()-properties[[#This Row],[addedDate]])</f>
        <v>68</v>
      </c>
    </row>
    <row r="108" spans="1:25" x14ac:dyDescent="0.25">
      <c r="A108" s="1">
        <v>45764</v>
      </c>
      <c r="B108" t="s">
        <v>446</v>
      </c>
      <c r="C108" t="s">
        <v>372</v>
      </c>
      <c r="D108" s="1">
        <v>45905</v>
      </c>
      <c r="E108" t="s">
        <v>447</v>
      </c>
      <c r="F108">
        <v>1</v>
      </c>
      <c r="G108" t="s">
        <v>448</v>
      </c>
      <c r="H108" t="s">
        <v>449</v>
      </c>
      <c r="I108">
        <v>132</v>
      </c>
      <c r="J108">
        <v>13693</v>
      </c>
      <c r="K108">
        <v>0</v>
      </c>
      <c r="L108" t="s">
        <v>28</v>
      </c>
      <c r="M108">
        <v>3600000</v>
      </c>
      <c r="N108">
        <v>0</v>
      </c>
      <c r="O108" t="s">
        <v>103</v>
      </c>
      <c r="P108" t="s">
        <v>30</v>
      </c>
      <c r="Q108" t="s">
        <v>43</v>
      </c>
      <c r="R108" t="s">
        <v>372</v>
      </c>
      <c r="S108" t="s">
        <v>43</v>
      </c>
      <c r="V108">
        <v>27272.727272727272</v>
      </c>
      <c r="W108">
        <v>262.9080552106916</v>
      </c>
      <c r="X108">
        <f ca="1">IF(ISNUMBER(properties[[#This Row],[archivedDate]]),properties[[#This Row],[archivedDate]]-properties[[#This Row],[addedDate]],TODAY()-properties[[#This Row],[addedDate]])</f>
        <v>141</v>
      </c>
      <c r="Y108">
        <f ca="1">IF(ISNUMBER(properties[[#This Row],[archivedDate]]),properties[[#This Row],[archivedDate]]-properties[[#This Row],[addedDate]],TODAY()-properties[[#This Row],[addedDate]])</f>
        <v>141</v>
      </c>
    </row>
    <row r="109" spans="1:25" x14ac:dyDescent="0.25">
      <c r="A109" s="1">
        <v>45764</v>
      </c>
      <c r="B109" t="s">
        <v>450</v>
      </c>
      <c r="C109" t="s">
        <v>372</v>
      </c>
      <c r="D109" s="1">
        <v>45831</v>
      </c>
      <c r="E109" t="s">
        <v>200</v>
      </c>
      <c r="F109">
        <v>3</v>
      </c>
      <c r="G109" t="s">
        <v>451</v>
      </c>
      <c r="H109" t="s">
        <v>452</v>
      </c>
      <c r="I109">
        <v>226</v>
      </c>
      <c r="J109">
        <v>485</v>
      </c>
      <c r="K109">
        <v>1100000</v>
      </c>
      <c r="L109" t="s">
        <v>28</v>
      </c>
      <c r="M109">
        <v>1175000</v>
      </c>
      <c r="N109">
        <v>0</v>
      </c>
      <c r="O109" t="s">
        <v>103</v>
      </c>
      <c r="P109" t="s">
        <v>30</v>
      </c>
      <c r="Q109" t="s">
        <v>43</v>
      </c>
      <c r="R109" t="s">
        <v>372</v>
      </c>
      <c r="S109" t="s">
        <v>43</v>
      </c>
      <c r="T109">
        <v>4867.2566371681414</v>
      </c>
      <c r="U109">
        <v>2268.0412371134021</v>
      </c>
      <c r="V109">
        <v>5199.1150442477874</v>
      </c>
      <c r="W109">
        <v>2422.680412371134</v>
      </c>
      <c r="X109">
        <f ca="1">IF(ISNUMBER(properties[[#This Row],[archivedDate]]),properties[[#This Row],[archivedDate]]-properties[[#This Row],[addedDate]],TODAY()-properties[[#This Row],[addedDate]])</f>
        <v>67</v>
      </c>
      <c r="Y109">
        <f ca="1">IF(ISNUMBER(properties[[#This Row],[archivedDate]]),properties[[#This Row],[archivedDate]]-properties[[#This Row],[addedDate]],TODAY()-properties[[#This Row],[addedDate]])</f>
        <v>67</v>
      </c>
    </row>
    <row r="110" spans="1:25" x14ac:dyDescent="0.25">
      <c r="A110" s="1">
        <v>45764</v>
      </c>
      <c r="B110" t="s">
        <v>453</v>
      </c>
      <c r="C110" t="s">
        <v>372</v>
      </c>
      <c r="D110" s="1">
        <v>45840</v>
      </c>
      <c r="E110" t="s">
        <v>405</v>
      </c>
      <c r="F110">
        <v>2</v>
      </c>
      <c r="G110" t="s">
        <v>454</v>
      </c>
      <c r="H110" t="s">
        <v>455</v>
      </c>
      <c r="I110">
        <v>371</v>
      </c>
      <c r="J110">
        <v>864</v>
      </c>
      <c r="K110">
        <v>0</v>
      </c>
      <c r="L110" t="s">
        <v>28</v>
      </c>
      <c r="M110">
        <v>3700000</v>
      </c>
      <c r="N110">
        <v>0</v>
      </c>
      <c r="O110" t="s">
        <v>103</v>
      </c>
      <c r="P110" t="s">
        <v>30</v>
      </c>
      <c r="Q110" t="s">
        <v>43</v>
      </c>
      <c r="R110" t="s">
        <v>372</v>
      </c>
      <c r="S110" t="s">
        <v>43</v>
      </c>
      <c r="V110">
        <v>9973.0458221024255</v>
      </c>
      <c r="W110">
        <v>4282.4074074074078</v>
      </c>
      <c r="X110">
        <f ca="1">IF(ISNUMBER(properties[[#This Row],[archivedDate]]),properties[[#This Row],[archivedDate]]-properties[[#This Row],[addedDate]],TODAY()-properties[[#This Row],[addedDate]])</f>
        <v>76</v>
      </c>
      <c r="Y110">
        <f ca="1">IF(ISNUMBER(properties[[#This Row],[archivedDate]]),properties[[#This Row],[archivedDate]]-properties[[#This Row],[addedDate]],TODAY()-properties[[#This Row],[addedDate]])</f>
        <v>76</v>
      </c>
    </row>
    <row r="111" spans="1:25" x14ac:dyDescent="0.25">
      <c r="A111" s="1">
        <v>45764</v>
      </c>
      <c r="B111" t="s">
        <v>456</v>
      </c>
      <c r="C111" t="s">
        <v>372</v>
      </c>
      <c r="D111" s="1">
        <v>45805</v>
      </c>
      <c r="E111" t="s">
        <v>457</v>
      </c>
      <c r="F111">
        <v>3</v>
      </c>
      <c r="G111" t="s">
        <v>458</v>
      </c>
      <c r="H111" t="s">
        <v>459</v>
      </c>
      <c r="I111">
        <v>182</v>
      </c>
      <c r="J111">
        <v>606</v>
      </c>
      <c r="K111">
        <v>1000000</v>
      </c>
      <c r="L111" t="s">
        <v>28</v>
      </c>
      <c r="M111">
        <v>1500000</v>
      </c>
      <c r="N111">
        <v>0</v>
      </c>
      <c r="O111" t="s">
        <v>103</v>
      </c>
      <c r="P111" t="s">
        <v>30</v>
      </c>
      <c r="Q111" t="s">
        <v>43</v>
      </c>
      <c r="R111" t="s">
        <v>372</v>
      </c>
      <c r="S111" t="s">
        <v>43</v>
      </c>
      <c r="T111">
        <v>5494.5054945054944</v>
      </c>
      <c r="U111">
        <v>1650.1650165016501</v>
      </c>
      <c r="V111">
        <v>8241.7582417582416</v>
      </c>
      <c r="W111">
        <v>2475.2475247524753</v>
      </c>
      <c r="X111">
        <f ca="1">IF(ISNUMBER(properties[[#This Row],[archivedDate]]),properties[[#This Row],[archivedDate]]-properties[[#This Row],[addedDate]],TODAY()-properties[[#This Row],[addedDate]])</f>
        <v>41</v>
      </c>
      <c r="Y111">
        <f ca="1">IF(ISNUMBER(properties[[#This Row],[archivedDate]]),properties[[#This Row],[archivedDate]]-properties[[#This Row],[addedDate]],TODAY()-properties[[#This Row],[addedDate]])</f>
        <v>41</v>
      </c>
    </row>
    <row r="112" spans="1:25" x14ac:dyDescent="0.25">
      <c r="A112" s="1">
        <v>45764</v>
      </c>
      <c r="B112" t="s">
        <v>460</v>
      </c>
      <c r="C112" t="s">
        <v>372</v>
      </c>
      <c r="D112" s="1">
        <v>45771</v>
      </c>
      <c r="E112" t="s">
        <v>46</v>
      </c>
      <c r="F112">
        <v>2</v>
      </c>
      <c r="G112" t="s">
        <v>461</v>
      </c>
      <c r="H112" t="s">
        <v>462</v>
      </c>
      <c r="I112">
        <v>126</v>
      </c>
      <c r="J112">
        <v>278</v>
      </c>
      <c r="K112">
        <v>0</v>
      </c>
      <c r="L112" t="s">
        <v>28</v>
      </c>
      <c r="M112">
        <v>3895000</v>
      </c>
      <c r="N112">
        <v>0</v>
      </c>
      <c r="O112" t="s">
        <v>103</v>
      </c>
      <c r="P112" t="s">
        <v>30</v>
      </c>
      <c r="Q112" t="s">
        <v>43</v>
      </c>
      <c r="R112" t="s">
        <v>372</v>
      </c>
      <c r="S112" t="s">
        <v>43</v>
      </c>
      <c r="V112">
        <v>30912.698412698413</v>
      </c>
      <c r="W112">
        <v>14010.791366906475</v>
      </c>
      <c r="X112">
        <f ca="1">IF(ISNUMBER(properties[[#This Row],[archivedDate]]),properties[[#This Row],[archivedDate]]-properties[[#This Row],[addedDate]],TODAY()-properties[[#This Row],[addedDate]])</f>
        <v>7</v>
      </c>
      <c r="Y112">
        <f ca="1">IF(ISNUMBER(properties[[#This Row],[archivedDate]]),properties[[#This Row],[archivedDate]]-properties[[#This Row],[addedDate]],TODAY()-properties[[#This Row],[addedDate]])</f>
        <v>7</v>
      </c>
    </row>
    <row r="113" spans="1:25" x14ac:dyDescent="0.25">
      <c r="A113" s="1">
        <v>45764</v>
      </c>
      <c r="B113" t="s">
        <v>463</v>
      </c>
      <c r="C113" t="s">
        <v>372</v>
      </c>
      <c r="D113" s="1">
        <v>45772</v>
      </c>
      <c r="E113" t="s">
        <v>160</v>
      </c>
      <c r="F113">
        <v>2</v>
      </c>
      <c r="G113" t="s">
        <v>464</v>
      </c>
      <c r="H113" t="s">
        <v>465</v>
      </c>
      <c r="I113">
        <v>281</v>
      </c>
      <c r="J113">
        <v>651</v>
      </c>
      <c r="K113">
        <v>0</v>
      </c>
      <c r="L113" t="s">
        <v>28</v>
      </c>
      <c r="M113">
        <v>3595000</v>
      </c>
      <c r="N113">
        <v>0</v>
      </c>
      <c r="O113" t="s">
        <v>103</v>
      </c>
      <c r="P113" t="s">
        <v>30</v>
      </c>
      <c r="Q113" t="s">
        <v>43</v>
      </c>
      <c r="R113" t="s">
        <v>372</v>
      </c>
      <c r="S113" t="s">
        <v>43</v>
      </c>
      <c r="V113">
        <v>12793.594306049821</v>
      </c>
      <c r="W113">
        <v>5522.273425499232</v>
      </c>
      <c r="X113">
        <f ca="1">IF(ISNUMBER(properties[[#This Row],[archivedDate]]),properties[[#This Row],[archivedDate]]-properties[[#This Row],[addedDate]],TODAY()-properties[[#This Row],[addedDate]])</f>
        <v>8</v>
      </c>
      <c r="Y113">
        <f ca="1">IF(ISNUMBER(properties[[#This Row],[archivedDate]]),properties[[#This Row],[archivedDate]]-properties[[#This Row],[addedDate]],TODAY()-properties[[#This Row],[addedDate]])</f>
        <v>8</v>
      </c>
    </row>
    <row r="114" spans="1:25" x14ac:dyDescent="0.25">
      <c r="A114" s="1">
        <v>45764</v>
      </c>
      <c r="B114" t="s">
        <v>466</v>
      </c>
      <c r="C114" t="s">
        <v>372</v>
      </c>
      <c r="D114" s="1">
        <v>45793</v>
      </c>
      <c r="E114" t="s">
        <v>467</v>
      </c>
      <c r="F114">
        <v>2</v>
      </c>
      <c r="G114" t="s">
        <v>468</v>
      </c>
      <c r="H114" t="s">
        <v>469</v>
      </c>
      <c r="I114">
        <v>229</v>
      </c>
      <c r="J114">
        <v>213</v>
      </c>
      <c r="K114">
        <v>2900000</v>
      </c>
      <c r="L114" t="s">
        <v>28</v>
      </c>
      <c r="M114">
        <v>2800000</v>
      </c>
      <c r="N114">
        <v>0</v>
      </c>
      <c r="O114" t="s">
        <v>103</v>
      </c>
      <c r="P114" t="s">
        <v>297</v>
      </c>
      <c r="Q114" t="s">
        <v>470</v>
      </c>
      <c r="R114" t="s">
        <v>372</v>
      </c>
      <c r="S114" t="s">
        <v>43</v>
      </c>
      <c r="T114">
        <v>12663.755458515283</v>
      </c>
      <c r="U114">
        <v>13615.023474178404</v>
      </c>
      <c r="V114">
        <v>12227.074235807861</v>
      </c>
      <c r="W114">
        <v>13145.539906103286</v>
      </c>
      <c r="X114">
        <f ca="1">IF(ISNUMBER(properties[[#This Row],[archivedDate]]),properties[[#This Row],[archivedDate]]-properties[[#This Row],[addedDate]],TODAY()-properties[[#This Row],[addedDate]])</f>
        <v>29</v>
      </c>
      <c r="Y114">
        <f ca="1">IF(ISNUMBER(properties[[#This Row],[archivedDate]]),properties[[#This Row],[archivedDate]]-properties[[#This Row],[addedDate]],TODAY()-properties[[#This Row],[addedDate]])</f>
        <v>29</v>
      </c>
    </row>
    <row r="115" spans="1:25" x14ac:dyDescent="0.25">
      <c r="A115" s="1">
        <v>45764</v>
      </c>
      <c r="B115" t="s">
        <v>471</v>
      </c>
      <c r="C115" t="s">
        <v>372</v>
      </c>
      <c r="D115" s="1">
        <v>45827</v>
      </c>
      <c r="E115" t="s">
        <v>316</v>
      </c>
      <c r="F115">
        <v>3</v>
      </c>
      <c r="G115" t="s">
        <v>472</v>
      </c>
      <c r="H115" t="s">
        <v>473</v>
      </c>
      <c r="I115">
        <v>122</v>
      </c>
      <c r="J115">
        <v>72</v>
      </c>
      <c r="K115">
        <v>0</v>
      </c>
      <c r="L115" t="s">
        <v>28</v>
      </c>
      <c r="M115">
        <v>1698000</v>
      </c>
      <c r="N115">
        <v>0</v>
      </c>
      <c r="O115" t="s">
        <v>103</v>
      </c>
      <c r="P115" t="s">
        <v>297</v>
      </c>
      <c r="Q115" t="s">
        <v>43</v>
      </c>
      <c r="R115" t="s">
        <v>372</v>
      </c>
      <c r="S115" t="s">
        <v>43</v>
      </c>
      <c r="V115">
        <v>13918.032786885246</v>
      </c>
      <c r="W115">
        <v>23583.333333333332</v>
      </c>
      <c r="X115">
        <f ca="1">IF(ISNUMBER(properties[[#This Row],[archivedDate]]),properties[[#This Row],[archivedDate]]-properties[[#This Row],[addedDate]],TODAY()-properties[[#This Row],[addedDate]])</f>
        <v>63</v>
      </c>
      <c r="Y115">
        <f ca="1">IF(ISNUMBER(properties[[#This Row],[archivedDate]]),properties[[#This Row],[archivedDate]]-properties[[#This Row],[addedDate]],TODAY()-properties[[#This Row],[addedDate]])</f>
        <v>63</v>
      </c>
    </row>
    <row r="116" spans="1:25" x14ac:dyDescent="0.25">
      <c r="A116" s="1">
        <v>45764</v>
      </c>
      <c r="B116" t="s">
        <v>474</v>
      </c>
      <c r="C116" t="s">
        <v>372</v>
      </c>
      <c r="D116" s="1"/>
      <c r="E116" t="s">
        <v>95</v>
      </c>
      <c r="F116">
        <v>3</v>
      </c>
      <c r="G116" t="s">
        <v>475</v>
      </c>
      <c r="H116" t="s">
        <v>476</v>
      </c>
      <c r="I116">
        <v>900</v>
      </c>
      <c r="J116">
        <v>5385</v>
      </c>
      <c r="K116">
        <v>0</v>
      </c>
      <c r="L116" t="s">
        <v>28</v>
      </c>
      <c r="M116">
        <v>2500000</v>
      </c>
      <c r="N116">
        <v>0</v>
      </c>
      <c r="O116" t="s">
        <v>29</v>
      </c>
      <c r="P116" t="s">
        <v>185</v>
      </c>
      <c r="Q116" t="s">
        <v>43</v>
      </c>
      <c r="R116" t="s">
        <v>372</v>
      </c>
      <c r="S116" t="s">
        <v>43</v>
      </c>
      <c r="V116">
        <v>2777.7777777777778</v>
      </c>
      <c r="W116">
        <v>464.25255338904361</v>
      </c>
      <c r="X116">
        <f ca="1">IF(ISNUMBER(properties[[#This Row],[archivedDate]]),properties[[#This Row],[archivedDate]]-properties[[#This Row],[addedDate]],TODAY()-properties[[#This Row],[addedDate]])</f>
        <v>355</v>
      </c>
      <c r="Y116">
        <f ca="1">IF(ISNUMBER(properties[[#This Row],[archivedDate]]),properties[[#This Row],[archivedDate]]-properties[[#This Row],[addedDate]],TODAY()-properties[[#This Row],[addedDate]])</f>
        <v>355</v>
      </c>
    </row>
    <row r="117" spans="1:25" x14ac:dyDescent="0.25">
      <c r="A117" s="1">
        <v>45764</v>
      </c>
      <c r="B117" t="s">
        <v>477</v>
      </c>
      <c r="C117" t="s">
        <v>372</v>
      </c>
      <c r="D117" s="1">
        <v>45821</v>
      </c>
      <c r="E117" t="s">
        <v>34</v>
      </c>
      <c r="F117">
        <v>3</v>
      </c>
      <c r="G117" t="s">
        <v>478</v>
      </c>
      <c r="H117" t="s">
        <v>479</v>
      </c>
      <c r="I117">
        <v>337</v>
      </c>
      <c r="J117">
        <v>281</v>
      </c>
      <c r="K117">
        <v>0</v>
      </c>
      <c r="L117" t="s">
        <v>28</v>
      </c>
      <c r="M117">
        <v>3495000</v>
      </c>
      <c r="N117">
        <v>0</v>
      </c>
      <c r="O117" t="s">
        <v>103</v>
      </c>
      <c r="P117" t="s">
        <v>185</v>
      </c>
      <c r="Q117" t="s">
        <v>43</v>
      </c>
      <c r="R117" t="s">
        <v>372</v>
      </c>
      <c r="S117" t="s">
        <v>43</v>
      </c>
      <c r="V117">
        <v>10370.919881305637</v>
      </c>
      <c r="W117">
        <v>12437.722419928825</v>
      </c>
      <c r="X117">
        <f ca="1">IF(ISNUMBER(properties[[#This Row],[archivedDate]]),properties[[#This Row],[archivedDate]]-properties[[#This Row],[addedDate]],TODAY()-properties[[#This Row],[addedDate]])</f>
        <v>57</v>
      </c>
      <c r="Y117">
        <f ca="1">IF(ISNUMBER(properties[[#This Row],[archivedDate]]),properties[[#This Row],[archivedDate]]-properties[[#This Row],[addedDate]],TODAY()-properties[[#This Row],[addedDate]])</f>
        <v>57</v>
      </c>
    </row>
    <row r="118" spans="1:25" x14ac:dyDescent="0.25">
      <c r="A118" s="1">
        <v>45764</v>
      </c>
      <c r="B118" t="s">
        <v>480</v>
      </c>
      <c r="C118" t="s">
        <v>372</v>
      </c>
      <c r="D118" s="1">
        <v>45819</v>
      </c>
      <c r="E118" t="s">
        <v>211</v>
      </c>
      <c r="F118">
        <v>3</v>
      </c>
      <c r="G118" t="s">
        <v>481</v>
      </c>
      <c r="H118" t="s">
        <v>482</v>
      </c>
      <c r="I118">
        <v>283</v>
      </c>
      <c r="J118">
        <v>710</v>
      </c>
      <c r="K118">
        <v>2400000</v>
      </c>
      <c r="L118" t="s">
        <v>28</v>
      </c>
      <c r="M118">
        <v>2800000</v>
      </c>
      <c r="N118">
        <v>0</v>
      </c>
      <c r="O118" t="s">
        <v>103</v>
      </c>
      <c r="P118" t="s">
        <v>185</v>
      </c>
      <c r="Q118" t="s">
        <v>43</v>
      </c>
      <c r="R118" t="s">
        <v>372</v>
      </c>
      <c r="S118" t="s">
        <v>43</v>
      </c>
      <c r="T118">
        <v>8480.5653710247352</v>
      </c>
      <c r="U118">
        <v>3380.2816901408451</v>
      </c>
      <c r="V118">
        <v>9893.9929328621911</v>
      </c>
      <c r="W118">
        <v>3943.6619718309857</v>
      </c>
      <c r="X118">
        <f ca="1">IF(ISNUMBER(properties[[#This Row],[archivedDate]]),properties[[#This Row],[archivedDate]]-properties[[#This Row],[addedDate]],TODAY()-properties[[#This Row],[addedDate]])</f>
        <v>55</v>
      </c>
      <c r="Y118">
        <f ca="1">IF(ISNUMBER(properties[[#This Row],[archivedDate]]),properties[[#This Row],[archivedDate]]-properties[[#This Row],[addedDate]],TODAY()-properties[[#This Row],[addedDate]])</f>
        <v>55</v>
      </c>
    </row>
    <row r="119" spans="1:25" x14ac:dyDescent="0.25">
      <c r="A119" s="1">
        <v>45764</v>
      </c>
      <c r="B119" t="s">
        <v>483</v>
      </c>
      <c r="C119" t="s">
        <v>372</v>
      </c>
      <c r="D119" s="1"/>
      <c r="E119" t="s">
        <v>484</v>
      </c>
      <c r="F119">
        <v>0</v>
      </c>
      <c r="G119" t="s">
        <v>485</v>
      </c>
      <c r="H119" t="s">
        <v>486</v>
      </c>
      <c r="I119">
        <v>0</v>
      </c>
      <c r="J119">
        <v>516</v>
      </c>
      <c r="K119">
        <v>0</v>
      </c>
      <c r="L119" t="s">
        <v>28</v>
      </c>
      <c r="M119">
        <v>410220</v>
      </c>
      <c r="N119">
        <v>0</v>
      </c>
      <c r="O119" t="s">
        <v>29</v>
      </c>
      <c r="P119" t="s">
        <v>98</v>
      </c>
      <c r="Q119" t="s">
        <v>43</v>
      </c>
      <c r="R119" t="s">
        <v>372</v>
      </c>
      <c r="S119" t="s">
        <v>43</v>
      </c>
      <c r="W119">
        <v>795</v>
      </c>
      <c r="X119">
        <f ca="1">IF(ISNUMBER(properties[[#This Row],[archivedDate]]),properties[[#This Row],[archivedDate]]-properties[[#This Row],[addedDate]],TODAY()-properties[[#This Row],[addedDate]])</f>
        <v>355</v>
      </c>
      <c r="Y119">
        <f ca="1">IF(ISNUMBER(properties[[#This Row],[archivedDate]]),properties[[#This Row],[archivedDate]]-properties[[#This Row],[addedDate]],TODAY()-properties[[#This Row],[addedDate]])</f>
        <v>355</v>
      </c>
    </row>
    <row r="120" spans="1:25" x14ac:dyDescent="0.25">
      <c r="A120" s="1">
        <v>45764</v>
      </c>
      <c r="B120" t="s">
        <v>487</v>
      </c>
      <c r="C120" t="s">
        <v>372</v>
      </c>
      <c r="D120" s="1">
        <v>46001</v>
      </c>
      <c r="E120" t="s">
        <v>488</v>
      </c>
      <c r="F120">
        <v>0</v>
      </c>
      <c r="G120" t="s">
        <v>489</v>
      </c>
      <c r="H120" t="s">
        <v>490</v>
      </c>
      <c r="I120">
        <v>0</v>
      </c>
      <c r="J120">
        <v>611</v>
      </c>
      <c r="K120">
        <v>0</v>
      </c>
      <c r="L120" t="s">
        <v>28</v>
      </c>
      <c r="M120">
        <v>485745</v>
      </c>
      <c r="N120">
        <v>0</v>
      </c>
      <c r="O120" t="s">
        <v>103</v>
      </c>
      <c r="P120" t="s">
        <v>98</v>
      </c>
      <c r="Q120" t="s">
        <v>43</v>
      </c>
      <c r="R120" t="s">
        <v>372</v>
      </c>
      <c r="S120" t="s">
        <v>43</v>
      </c>
      <c r="W120">
        <v>795</v>
      </c>
      <c r="X120">
        <f ca="1">IF(ISNUMBER(properties[[#This Row],[archivedDate]]),properties[[#This Row],[archivedDate]]-properties[[#This Row],[addedDate]],TODAY()-properties[[#This Row],[addedDate]])</f>
        <v>237</v>
      </c>
      <c r="Y120">
        <f ca="1">IF(ISNUMBER(properties[[#This Row],[archivedDate]]),properties[[#This Row],[archivedDate]]-properties[[#This Row],[addedDate]],TODAY()-properties[[#This Row],[addedDate]])</f>
        <v>237</v>
      </c>
    </row>
    <row r="121" spans="1:25" x14ac:dyDescent="0.25">
      <c r="A121" s="1">
        <v>45764</v>
      </c>
      <c r="B121" t="s">
        <v>491</v>
      </c>
      <c r="C121" t="s">
        <v>372</v>
      </c>
      <c r="D121" s="1"/>
      <c r="E121" t="s">
        <v>338</v>
      </c>
      <c r="F121">
        <v>0</v>
      </c>
      <c r="G121" t="s">
        <v>492</v>
      </c>
      <c r="H121" t="s">
        <v>493</v>
      </c>
      <c r="I121">
        <v>0</v>
      </c>
      <c r="J121">
        <v>595</v>
      </c>
      <c r="K121">
        <v>0</v>
      </c>
      <c r="L121" t="s">
        <v>28</v>
      </c>
      <c r="M121">
        <v>473025</v>
      </c>
      <c r="N121">
        <v>0</v>
      </c>
      <c r="O121" t="s">
        <v>29</v>
      </c>
      <c r="P121" t="s">
        <v>98</v>
      </c>
      <c r="Q121" t="s">
        <v>43</v>
      </c>
      <c r="R121" t="s">
        <v>372</v>
      </c>
      <c r="S121" t="s">
        <v>43</v>
      </c>
      <c r="W121">
        <v>795</v>
      </c>
      <c r="X121">
        <f ca="1">IF(ISNUMBER(properties[[#This Row],[archivedDate]]),properties[[#This Row],[archivedDate]]-properties[[#This Row],[addedDate]],TODAY()-properties[[#This Row],[addedDate]])</f>
        <v>355</v>
      </c>
      <c r="Y121">
        <f ca="1">IF(ISNUMBER(properties[[#This Row],[archivedDate]]),properties[[#This Row],[archivedDate]]-properties[[#This Row],[addedDate]],TODAY()-properties[[#This Row],[addedDate]])</f>
        <v>355</v>
      </c>
    </row>
    <row r="122" spans="1:25" x14ac:dyDescent="0.25">
      <c r="A122" s="1">
        <v>45764</v>
      </c>
      <c r="B122" t="s">
        <v>494</v>
      </c>
      <c r="C122" t="s">
        <v>372</v>
      </c>
      <c r="D122" s="1"/>
      <c r="E122" t="s">
        <v>331</v>
      </c>
      <c r="F122">
        <v>0</v>
      </c>
      <c r="G122" t="s">
        <v>495</v>
      </c>
      <c r="H122" t="s">
        <v>496</v>
      </c>
      <c r="I122">
        <v>0</v>
      </c>
      <c r="J122">
        <v>519</v>
      </c>
      <c r="K122">
        <v>500000</v>
      </c>
      <c r="L122" t="s">
        <v>28</v>
      </c>
      <c r="M122">
        <v>850000</v>
      </c>
      <c r="N122">
        <v>0</v>
      </c>
      <c r="O122" t="s">
        <v>29</v>
      </c>
      <c r="P122" t="s">
        <v>98</v>
      </c>
      <c r="Q122" t="s">
        <v>43</v>
      </c>
      <c r="R122" t="s">
        <v>372</v>
      </c>
      <c r="S122" t="s">
        <v>43</v>
      </c>
      <c r="U122">
        <v>963.39113680154139</v>
      </c>
      <c r="W122">
        <v>1637.7649325626205</v>
      </c>
      <c r="X122">
        <f ca="1">IF(ISNUMBER(properties[[#This Row],[archivedDate]]),properties[[#This Row],[archivedDate]]-properties[[#This Row],[addedDate]],TODAY()-properties[[#This Row],[addedDate]])</f>
        <v>355</v>
      </c>
      <c r="Y122">
        <f ca="1">IF(ISNUMBER(properties[[#This Row],[archivedDate]]),properties[[#This Row],[archivedDate]]-properties[[#This Row],[addedDate]],TODAY()-properties[[#This Row],[addedDate]])</f>
        <v>355</v>
      </c>
    </row>
    <row r="123" spans="1:25" x14ac:dyDescent="0.25">
      <c r="A123" s="1">
        <v>45764</v>
      </c>
      <c r="B123" t="s">
        <v>497</v>
      </c>
      <c r="C123" t="s">
        <v>372</v>
      </c>
      <c r="D123" s="1">
        <v>46037</v>
      </c>
      <c r="E123" t="s">
        <v>90</v>
      </c>
      <c r="F123">
        <v>0</v>
      </c>
      <c r="G123" t="s">
        <v>498</v>
      </c>
      <c r="H123" t="s">
        <v>499</v>
      </c>
      <c r="I123">
        <v>0</v>
      </c>
      <c r="J123">
        <v>625</v>
      </c>
      <c r="K123">
        <v>270000</v>
      </c>
      <c r="L123" t="s">
        <v>28</v>
      </c>
      <c r="M123">
        <v>250000</v>
      </c>
      <c r="N123">
        <v>0</v>
      </c>
      <c r="O123" t="s">
        <v>103</v>
      </c>
      <c r="P123" t="s">
        <v>98</v>
      </c>
      <c r="Q123" t="s">
        <v>43</v>
      </c>
      <c r="R123" t="s">
        <v>372</v>
      </c>
      <c r="S123" t="s">
        <v>43</v>
      </c>
      <c r="U123">
        <v>432</v>
      </c>
      <c r="W123">
        <v>400</v>
      </c>
      <c r="X123">
        <f ca="1">IF(ISNUMBER(properties[[#This Row],[archivedDate]]),properties[[#This Row],[archivedDate]]-properties[[#This Row],[addedDate]],TODAY()-properties[[#This Row],[addedDate]])</f>
        <v>273</v>
      </c>
      <c r="Y123">
        <f ca="1">IF(ISNUMBER(properties[[#This Row],[archivedDate]]),properties[[#This Row],[archivedDate]]-properties[[#This Row],[addedDate]],TODAY()-properties[[#This Row],[addedDate]])</f>
        <v>273</v>
      </c>
    </row>
    <row r="124" spans="1:25" x14ac:dyDescent="0.25">
      <c r="A124" s="1">
        <v>45764</v>
      </c>
      <c r="B124" t="s">
        <v>500</v>
      </c>
      <c r="C124" t="s">
        <v>372</v>
      </c>
      <c r="D124" s="1">
        <v>46069</v>
      </c>
      <c r="E124" t="s">
        <v>501</v>
      </c>
      <c r="F124">
        <v>0</v>
      </c>
      <c r="G124" t="s">
        <v>502</v>
      </c>
      <c r="H124" t="s">
        <v>503</v>
      </c>
      <c r="I124">
        <v>0</v>
      </c>
      <c r="J124">
        <v>674</v>
      </c>
      <c r="K124">
        <v>150000</v>
      </c>
      <c r="L124" t="s">
        <v>28</v>
      </c>
      <c r="M124">
        <v>445000</v>
      </c>
      <c r="N124">
        <v>0</v>
      </c>
      <c r="O124" t="s">
        <v>103</v>
      </c>
      <c r="P124" t="s">
        <v>98</v>
      </c>
      <c r="Q124" t="s">
        <v>43</v>
      </c>
      <c r="R124" t="s">
        <v>372</v>
      </c>
      <c r="S124" t="s">
        <v>43</v>
      </c>
      <c r="U124">
        <v>222.55192878338278</v>
      </c>
      <c r="W124">
        <v>660.23738872403555</v>
      </c>
      <c r="X124">
        <f ca="1">IF(ISNUMBER(properties[[#This Row],[archivedDate]]),properties[[#This Row],[archivedDate]]-properties[[#This Row],[addedDate]],TODAY()-properties[[#This Row],[addedDate]])</f>
        <v>305</v>
      </c>
      <c r="Y124">
        <f ca="1">IF(ISNUMBER(properties[[#This Row],[archivedDate]]),properties[[#This Row],[archivedDate]]-properties[[#This Row],[addedDate]],TODAY()-properties[[#This Row],[addedDate]])</f>
        <v>305</v>
      </c>
    </row>
    <row r="125" spans="1:25" x14ac:dyDescent="0.25">
      <c r="A125" s="1">
        <v>45764</v>
      </c>
      <c r="B125" t="s">
        <v>504</v>
      </c>
      <c r="C125" t="s">
        <v>372</v>
      </c>
      <c r="D125" s="1">
        <v>45833</v>
      </c>
      <c r="E125" t="s">
        <v>505</v>
      </c>
      <c r="F125">
        <v>0</v>
      </c>
      <c r="G125" t="s">
        <v>506</v>
      </c>
      <c r="H125" t="s">
        <v>507</v>
      </c>
      <c r="I125">
        <v>0</v>
      </c>
      <c r="J125">
        <v>1097</v>
      </c>
      <c r="K125">
        <v>200000</v>
      </c>
      <c r="L125" t="s">
        <v>28</v>
      </c>
      <c r="M125">
        <v>274250</v>
      </c>
      <c r="N125">
        <v>0</v>
      </c>
      <c r="O125" t="s">
        <v>103</v>
      </c>
      <c r="P125" t="s">
        <v>98</v>
      </c>
      <c r="Q125" t="s">
        <v>43</v>
      </c>
      <c r="R125" t="s">
        <v>372</v>
      </c>
      <c r="S125" t="s">
        <v>43</v>
      </c>
      <c r="U125">
        <v>182.31540565177758</v>
      </c>
      <c r="W125">
        <v>250</v>
      </c>
      <c r="X125">
        <f ca="1">IF(ISNUMBER(properties[[#This Row],[archivedDate]]),properties[[#This Row],[archivedDate]]-properties[[#This Row],[addedDate]],TODAY()-properties[[#This Row],[addedDate]])</f>
        <v>69</v>
      </c>
      <c r="Y125">
        <f ca="1">IF(ISNUMBER(properties[[#This Row],[archivedDate]]),properties[[#This Row],[archivedDate]]-properties[[#This Row],[addedDate]],TODAY()-properties[[#This Row],[addedDate]])</f>
        <v>69</v>
      </c>
    </row>
    <row r="126" spans="1:25" x14ac:dyDescent="0.25">
      <c r="A126" s="1">
        <v>45764</v>
      </c>
      <c r="B126" t="s">
        <v>508</v>
      </c>
      <c r="C126" t="s">
        <v>372</v>
      </c>
      <c r="D126" s="1">
        <v>46058</v>
      </c>
      <c r="E126" t="s">
        <v>52</v>
      </c>
      <c r="F126">
        <v>0</v>
      </c>
      <c r="G126" t="s">
        <v>509</v>
      </c>
      <c r="H126" t="s">
        <v>510</v>
      </c>
      <c r="I126">
        <v>0</v>
      </c>
      <c r="J126">
        <v>4772</v>
      </c>
      <c r="K126">
        <v>325000</v>
      </c>
      <c r="L126" t="s">
        <v>28</v>
      </c>
      <c r="M126">
        <v>450000</v>
      </c>
      <c r="N126">
        <v>0</v>
      </c>
      <c r="O126" t="s">
        <v>103</v>
      </c>
      <c r="P126" t="s">
        <v>98</v>
      </c>
      <c r="Q126" t="s">
        <v>43</v>
      </c>
      <c r="R126" t="s">
        <v>372</v>
      </c>
      <c r="S126" t="s">
        <v>43</v>
      </c>
      <c r="U126">
        <v>68.105616093880968</v>
      </c>
      <c r="W126">
        <v>94.300083822296727</v>
      </c>
      <c r="X126">
        <f ca="1">IF(ISNUMBER(properties[[#This Row],[archivedDate]]),properties[[#This Row],[archivedDate]]-properties[[#This Row],[addedDate]],TODAY()-properties[[#This Row],[addedDate]])</f>
        <v>294</v>
      </c>
      <c r="Y126">
        <f ca="1">IF(ISNUMBER(properties[[#This Row],[archivedDate]]),properties[[#This Row],[archivedDate]]-properties[[#This Row],[addedDate]],TODAY()-properties[[#This Row],[addedDate]])</f>
        <v>294</v>
      </c>
    </row>
    <row r="127" spans="1:25" x14ac:dyDescent="0.25">
      <c r="A127" s="1">
        <v>45764</v>
      </c>
      <c r="B127" t="s">
        <v>511</v>
      </c>
      <c r="C127" t="s">
        <v>372</v>
      </c>
      <c r="D127" s="1">
        <v>46090</v>
      </c>
      <c r="E127" t="s">
        <v>229</v>
      </c>
      <c r="F127">
        <v>0</v>
      </c>
      <c r="G127" t="s">
        <v>512</v>
      </c>
      <c r="H127" t="s">
        <v>513</v>
      </c>
      <c r="I127">
        <v>0</v>
      </c>
      <c r="J127">
        <v>575</v>
      </c>
      <c r="K127">
        <v>325000</v>
      </c>
      <c r="L127" t="s">
        <v>28</v>
      </c>
      <c r="M127">
        <v>370000</v>
      </c>
      <c r="N127">
        <v>0</v>
      </c>
      <c r="O127" t="s">
        <v>103</v>
      </c>
      <c r="P127" t="s">
        <v>98</v>
      </c>
      <c r="Q127" t="s">
        <v>43</v>
      </c>
      <c r="R127" t="s">
        <v>372</v>
      </c>
      <c r="S127" t="s">
        <v>43</v>
      </c>
      <c r="U127">
        <v>565.21739130434787</v>
      </c>
      <c r="W127">
        <v>643.47826086956525</v>
      </c>
      <c r="X127">
        <f ca="1">IF(ISNUMBER(properties[[#This Row],[archivedDate]]),properties[[#This Row],[archivedDate]]-properties[[#This Row],[addedDate]],TODAY()-properties[[#This Row],[addedDate]])</f>
        <v>326</v>
      </c>
      <c r="Y127">
        <f ca="1">IF(ISNUMBER(properties[[#This Row],[archivedDate]]),properties[[#This Row],[archivedDate]]-properties[[#This Row],[addedDate]],TODAY()-properties[[#This Row],[addedDate]])</f>
        <v>326</v>
      </c>
    </row>
    <row r="128" spans="1:25" x14ac:dyDescent="0.25">
      <c r="A128" s="1">
        <v>45764</v>
      </c>
      <c r="B128" t="s">
        <v>514</v>
      </c>
      <c r="C128" t="s">
        <v>372</v>
      </c>
      <c r="D128" s="1">
        <v>46064</v>
      </c>
      <c r="E128" t="s">
        <v>515</v>
      </c>
      <c r="F128">
        <v>0</v>
      </c>
      <c r="G128" t="s">
        <v>516</v>
      </c>
      <c r="H128" t="s">
        <v>517</v>
      </c>
      <c r="I128">
        <v>0</v>
      </c>
      <c r="J128">
        <v>912</v>
      </c>
      <c r="K128">
        <v>300000</v>
      </c>
      <c r="L128" t="s">
        <v>28</v>
      </c>
      <c r="M128">
        <v>390000</v>
      </c>
      <c r="N128">
        <v>0</v>
      </c>
      <c r="O128" t="s">
        <v>103</v>
      </c>
      <c r="P128" t="s">
        <v>98</v>
      </c>
      <c r="Q128" t="s">
        <v>43</v>
      </c>
      <c r="R128" t="s">
        <v>372</v>
      </c>
      <c r="S128" t="s">
        <v>43</v>
      </c>
      <c r="U128">
        <v>328.94736842105266</v>
      </c>
      <c r="W128">
        <v>427.63157894736844</v>
      </c>
      <c r="X128">
        <f ca="1">IF(ISNUMBER(properties[[#This Row],[archivedDate]]),properties[[#This Row],[archivedDate]]-properties[[#This Row],[addedDate]],TODAY()-properties[[#This Row],[addedDate]])</f>
        <v>300</v>
      </c>
      <c r="Y128">
        <f ca="1">IF(ISNUMBER(properties[[#This Row],[archivedDate]]),properties[[#This Row],[archivedDate]]-properties[[#This Row],[addedDate]],TODAY()-properties[[#This Row],[addedDate]])</f>
        <v>300</v>
      </c>
    </row>
    <row r="129" spans="1:25" x14ac:dyDescent="0.25">
      <c r="A129" s="1">
        <v>45764</v>
      </c>
      <c r="B129" t="s">
        <v>518</v>
      </c>
      <c r="C129" t="s">
        <v>372</v>
      </c>
      <c r="D129" s="1">
        <v>45882</v>
      </c>
      <c r="E129" t="s">
        <v>316</v>
      </c>
      <c r="F129">
        <v>0</v>
      </c>
      <c r="G129" t="s">
        <v>519</v>
      </c>
      <c r="H129" t="s">
        <v>520</v>
      </c>
      <c r="I129">
        <v>0</v>
      </c>
      <c r="J129">
        <v>757</v>
      </c>
      <c r="K129">
        <v>0</v>
      </c>
      <c r="L129" t="s">
        <v>28</v>
      </c>
      <c r="M129">
        <v>850000</v>
      </c>
      <c r="N129">
        <v>0</v>
      </c>
      <c r="O129" t="s">
        <v>103</v>
      </c>
      <c r="P129" t="s">
        <v>98</v>
      </c>
      <c r="Q129" t="s">
        <v>43</v>
      </c>
      <c r="R129" t="s">
        <v>372</v>
      </c>
      <c r="S129" t="s">
        <v>43</v>
      </c>
      <c r="W129">
        <v>1122.8533685601058</v>
      </c>
      <c r="X129">
        <f ca="1">IF(ISNUMBER(properties[[#This Row],[archivedDate]]),properties[[#This Row],[archivedDate]]-properties[[#This Row],[addedDate]],TODAY()-properties[[#This Row],[addedDate]])</f>
        <v>118</v>
      </c>
      <c r="Y129">
        <f ca="1">IF(ISNUMBER(properties[[#This Row],[archivedDate]]),properties[[#This Row],[archivedDate]]-properties[[#This Row],[addedDate]],TODAY()-properties[[#This Row],[addedDate]])</f>
        <v>118</v>
      </c>
    </row>
    <row r="130" spans="1:25" x14ac:dyDescent="0.25">
      <c r="A130" s="1">
        <v>45764</v>
      </c>
      <c r="B130" t="s">
        <v>521</v>
      </c>
      <c r="C130" t="s">
        <v>372</v>
      </c>
      <c r="D130" s="1">
        <v>46051</v>
      </c>
      <c r="E130" t="s">
        <v>34</v>
      </c>
      <c r="F130">
        <v>0</v>
      </c>
      <c r="G130" t="s">
        <v>522</v>
      </c>
      <c r="H130" t="s">
        <v>523</v>
      </c>
      <c r="I130">
        <v>0</v>
      </c>
      <c r="J130">
        <v>7583</v>
      </c>
      <c r="K130">
        <v>0</v>
      </c>
      <c r="L130" t="s">
        <v>28</v>
      </c>
      <c r="M130">
        <v>5400000</v>
      </c>
      <c r="N130">
        <v>0</v>
      </c>
      <c r="O130" t="s">
        <v>103</v>
      </c>
      <c r="P130" t="s">
        <v>98</v>
      </c>
      <c r="Q130" t="s">
        <v>43</v>
      </c>
      <c r="R130" t="s">
        <v>372</v>
      </c>
      <c r="S130" t="s">
        <v>43</v>
      </c>
      <c r="W130">
        <v>712.11921403138604</v>
      </c>
      <c r="X130">
        <f ca="1">IF(ISNUMBER(properties[[#This Row],[archivedDate]]),properties[[#This Row],[archivedDate]]-properties[[#This Row],[addedDate]],TODAY()-properties[[#This Row],[addedDate]])</f>
        <v>287</v>
      </c>
      <c r="Y130">
        <f ca="1">IF(ISNUMBER(properties[[#This Row],[archivedDate]]),properties[[#This Row],[archivedDate]]-properties[[#This Row],[addedDate]],TODAY()-properties[[#This Row],[addedDate]])</f>
        <v>287</v>
      </c>
    </row>
    <row r="131" spans="1:25" x14ac:dyDescent="0.25">
      <c r="A131" s="1">
        <v>45764</v>
      </c>
      <c r="B131" t="s">
        <v>524</v>
      </c>
      <c r="C131" t="s">
        <v>372</v>
      </c>
      <c r="D131" s="1">
        <v>45834</v>
      </c>
      <c r="E131" t="s">
        <v>439</v>
      </c>
      <c r="F131">
        <v>0</v>
      </c>
      <c r="G131" t="s">
        <v>525</v>
      </c>
      <c r="H131" t="s">
        <v>526</v>
      </c>
      <c r="I131">
        <v>0</v>
      </c>
      <c r="J131">
        <v>709</v>
      </c>
      <c r="K131">
        <v>0</v>
      </c>
      <c r="L131" t="s">
        <v>28</v>
      </c>
      <c r="M131">
        <v>600000</v>
      </c>
      <c r="N131">
        <v>0</v>
      </c>
      <c r="O131" t="s">
        <v>103</v>
      </c>
      <c r="P131" t="s">
        <v>98</v>
      </c>
      <c r="Q131" t="s">
        <v>43</v>
      </c>
      <c r="R131" t="s">
        <v>372</v>
      </c>
      <c r="S131" t="s">
        <v>43</v>
      </c>
      <c r="W131">
        <v>846.26234132581101</v>
      </c>
      <c r="X131">
        <f ca="1">IF(ISNUMBER(properties[[#This Row],[archivedDate]]),properties[[#This Row],[archivedDate]]-properties[[#This Row],[addedDate]],TODAY()-properties[[#This Row],[addedDate]])</f>
        <v>70</v>
      </c>
      <c r="Y131">
        <f ca="1">IF(ISNUMBER(properties[[#This Row],[archivedDate]]),properties[[#This Row],[archivedDate]]-properties[[#This Row],[addedDate]],TODAY()-properties[[#This Row],[addedDate]])</f>
        <v>70</v>
      </c>
    </row>
    <row r="132" spans="1:25" x14ac:dyDescent="0.25">
      <c r="A132" s="1">
        <v>45764</v>
      </c>
      <c r="B132" t="s">
        <v>527</v>
      </c>
      <c r="C132" t="s">
        <v>372</v>
      </c>
      <c r="D132" s="1">
        <v>45891</v>
      </c>
      <c r="E132" t="s">
        <v>528</v>
      </c>
      <c r="F132">
        <v>0</v>
      </c>
      <c r="G132" t="s">
        <v>529</v>
      </c>
      <c r="H132" t="s">
        <v>530</v>
      </c>
      <c r="I132">
        <v>0</v>
      </c>
      <c r="J132">
        <v>9929</v>
      </c>
      <c r="K132">
        <v>200000</v>
      </c>
      <c r="L132" t="s">
        <v>28</v>
      </c>
      <c r="M132">
        <v>500000</v>
      </c>
      <c r="N132">
        <v>0</v>
      </c>
      <c r="O132" t="s">
        <v>103</v>
      </c>
      <c r="P132" t="s">
        <v>194</v>
      </c>
      <c r="Q132" t="s">
        <v>43</v>
      </c>
      <c r="R132" t="s">
        <v>372</v>
      </c>
      <c r="S132" t="s">
        <v>43</v>
      </c>
      <c r="U132">
        <v>20.143015409406789</v>
      </c>
      <c r="W132">
        <v>50.357538523516972</v>
      </c>
      <c r="X132">
        <f ca="1">IF(ISNUMBER(properties[[#This Row],[archivedDate]]),properties[[#This Row],[archivedDate]]-properties[[#This Row],[addedDate]],TODAY()-properties[[#This Row],[addedDate]])</f>
        <v>127</v>
      </c>
      <c r="Y132">
        <f ca="1">IF(ISNUMBER(properties[[#This Row],[archivedDate]]),properties[[#This Row],[archivedDate]]-properties[[#This Row],[addedDate]],TODAY()-properties[[#This Row],[addedDate]])</f>
        <v>127</v>
      </c>
    </row>
    <row r="133" spans="1:25" x14ac:dyDescent="0.25">
      <c r="A133" s="1">
        <v>45764</v>
      </c>
      <c r="B133" t="s">
        <v>531</v>
      </c>
      <c r="C133" t="s">
        <v>372</v>
      </c>
      <c r="D133" s="1">
        <v>45895</v>
      </c>
      <c r="E133" t="s">
        <v>532</v>
      </c>
      <c r="F133">
        <v>0</v>
      </c>
      <c r="G133" t="s">
        <v>533</v>
      </c>
      <c r="H133" t="s">
        <v>534</v>
      </c>
      <c r="I133">
        <v>0</v>
      </c>
      <c r="J133">
        <v>36926</v>
      </c>
      <c r="K133">
        <v>1000000</v>
      </c>
      <c r="L133" t="s">
        <v>28</v>
      </c>
      <c r="M133">
        <v>1200000</v>
      </c>
      <c r="N133">
        <v>0</v>
      </c>
      <c r="O133" t="s">
        <v>103</v>
      </c>
      <c r="P133" t="s">
        <v>194</v>
      </c>
      <c r="Q133" t="s">
        <v>43</v>
      </c>
      <c r="R133" t="s">
        <v>372</v>
      </c>
      <c r="S133" t="s">
        <v>43</v>
      </c>
      <c r="U133">
        <v>27.081189405838703</v>
      </c>
      <c r="W133">
        <v>32.497427287006445</v>
      </c>
      <c r="X133">
        <f ca="1">IF(ISNUMBER(properties[[#This Row],[archivedDate]]),properties[[#This Row],[archivedDate]]-properties[[#This Row],[addedDate]],TODAY()-properties[[#This Row],[addedDate]])</f>
        <v>131</v>
      </c>
      <c r="Y133">
        <f ca="1">IF(ISNUMBER(properties[[#This Row],[archivedDate]]),properties[[#This Row],[archivedDate]]-properties[[#This Row],[addedDate]],TODAY()-properties[[#This Row],[addedDate]])</f>
        <v>131</v>
      </c>
    </row>
    <row r="134" spans="1:25" x14ac:dyDescent="0.25">
      <c r="A134" s="1">
        <v>45764</v>
      </c>
      <c r="B134" t="s">
        <v>535</v>
      </c>
      <c r="C134" t="s">
        <v>372</v>
      </c>
      <c r="D134" s="1">
        <v>46059</v>
      </c>
      <c r="E134" t="s">
        <v>187</v>
      </c>
      <c r="F134">
        <v>0</v>
      </c>
      <c r="G134" t="s">
        <v>536</v>
      </c>
      <c r="H134" t="s">
        <v>537</v>
      </c>
      <c r="I134">
        <v>0</v>
      </c>
      <c r="J134">
        <v>5776</v>
      </c>
      <c r="K134">
        <v>0</v>
      </c>
      <c r="L134" t="s">
        <v>28</v>
      </c>
      <c r="M134">
        <v>300000</v>
      </c>
      <c r="N134">
        <v>0</v>
      </c>
      <c r="O134" t="s">
        <v>103</v>
      </c>
      <c r="P134" t="s">
        <v>194</v>
      </c>
      <c r="Q134" t="s">
        <v>43</v>
      </c>
      <c r="R134" t="s">
        <v>372</v>
      </c>
      <c r="S134" t="s">
        <v>43</v>
      </c>
      <c r="W134">
        <v>51.939058171745152</v>
      </c>
      <c r="X134">
        <f ca="1">IF(ISNUMBER(properties[[#This Row],[archivedDate]]),properties[[#This Row],[archivedDate]]-properties[[#This Row],[addedDate]],TODAY()-properties[[#This Row],[addedDate]])</f>
        <v>295</v>
      </c>
      <c r="Y134">
        <f ca="1">IF(ISNUMBER(properties[[#This Row],[archivedDate]]),properties[[#This Row],[archivedDate]]-properties[[#This Row],[addedDate]],TODAY()-properties[[#This Row],[addedDate]])</f>
        <v>295</v>
      </c>
    </row>
    <row r="135" spans="1:25" x14ac:dyDescent="0.25">
      <c r="A135" s="1">
        <v>45764</v>
      </c>
      <c r="B135" t="s">
        <v>538</v>
      </c>
      <c r="C135" t="s">
        <v>372</v>
      </c>
      <c r="D135" s="1">
        <v>45961</v>
      </c>
      <c r="E135" t="s">
        <v>207</v>
      </c>
      <c r="F135">
        <v>0</v>
      </c>
      <c r="G135" t="s">
        <v>539</v>
      </c>
      <c r="H135" t="s">
        <v>540</v>
      </c>
      <c r="I135">
        <v>0</v>
      </c>
      <c r="J135">
        <v>27000</v>
      </c>
      <c r="K135">
        <v>0</v>
      </c>
      <c r="L135" t="s">
        <v>28</v>
      </c>
      <c r="M135">
        <v>3000000</v>
      </c>
      <c r="N135">
        <v>0</v>
      </c>
      <c r="O135" t="s">
        <v>103</v>
      </c>
      <c r="P135" t="s">
        <v>194</v>
      </c>
      <c r="Q135" t="s">
        <v>43</v>
      </c>
      <c r="R135" t="s">
        <v>372</v>
      </c>
      <c r="S135" t="s">
        <v>43</v>
      </c>
      <c r="W135">
        <v>111.11111111111111</v>
      </c>
      <c r="X135">
        <f ca="1">IF(ISNUMBER(properties[[#This Row],[archivedDate]]),properties[[#This Row],[archivedDate]]-properties[[#This Row],[addedDate]],TODAY()-properties[[#This Row],[addedDate]])</f>
        <v>197</v>
      </c>
      <c r="Y135">
        <f ca="1">IF(ISNUMBER(properties[[#This Row],[archivedDate]]),properties[[#This Row],[archivedDate]]-properties[[#This Row],[addedDate]],TODAY()-properties[[#This Row],[addedDate]])</f>
        <v>197</v>
      </c>
    </row>
    <row r="136" spans="1:25" x14ac:dyDescent="0.25">
      <c r="A136" s="1">
        <v>45768</v>
      </c>
      <c r="B136" t="s">
        <v>541</v>
      </c>
      <c r="C136" t="s">
        <v>120</v>
      </c>
      <c r="D136" s="1">
        <v>45824</v>
      </c>
      <c r="E136" t="s">
        <v>52</v>
      </c>
      <c r="F136">
        <v>0</v>
      </c>
      <c r="G136" t="s">
        <v>542</v>
      </c>
      <c r="H136" t="s">
        <v>543</v>
      </c>
      <c r="I136">
        <v>80</v>
      </c>
      <c r="J136">
        <v>426</v>
      </c>
      <c r="K136">
        <v>1225000</v>
      </c>
      <c r="L136" t="s">
        <v>28</v>
      </c>
      <c r="M136">
        <v>995000</v>
      </c>
      <c r="N136">
        <v>0</v>
      </c>
      <c r="O136" t="s">
        <v>103</v>
      </c>
      <c r="P136" t="s">
        <v>30</v>
      </c>
      <c r="Q136" t="s">
        <v>43</v>
      </c>
      <c r="R136" t="s">
        <v>124</v>
      </c>
      <c r="S136" t="s">
        <v>43</v>
      </c>
      <c r="T136">
        <v>15312.5</v>
      </c>
      <c r="U136">
        <v>2875.5868544600939</v>
      </c>
      <c r="V136">
        <v>12437.5</v>
      </c>
      <c r="W136">
        <v>2335.6807511737088</v>
      </c>
      <c r="X136">
        <f ca="1">IF(ISNUMBER(properties[[#This Row],[archivedDate]]),properties[[#This Row],[archivedDate]]-properties[[#This Row],[addedDate]],TODAY()-properties[[#This Row],[addedDate]])</f>
        <v>56</v>
      </c>
      <c r="Y136">
        <f ca="1">IF(ISNUMBER(properties[[#This Row],[archivedDate]]),properties[[#This Row],[archivedDate]]-properties[[#This Row],[addedDate]],TODAY()-properties[[#This Row],[addedDate]])</f>
        <v>56</v>
      </c>
    </row>
    <row r="137" spans="1:25" x14ac:dyDescent="0.25">
      <c r="A137" s="1">
        <v>45770</v>
      </c>
      <c r="B137" t="s">
        <v>544</v>
      </c>
      <c r="C137" t="s">
        <v>372</v>
      </c>
      <c r="D137" s="1">
        <v>45799</v>
      </c>
      <c r="E137" t="s">
        <v>90</v>
      </c>
      <c r="F137">
        <v>3</v>
      </c>
      <c r="G137" t="s">
        <v>545</v>
      </c>
      <c r="H137" t="s">
        <v>546</v>
      </c>
      <c r="I137">
        <v>332</v>
      </c>
      <c r="J137">
        <v>612</v>
      </c>
      <c r="K137">
        <v>3700000</v>
      </c>
      <c r="L137" t="s">
        <v>28</v>
      </c>
      <c r="M137">
        <v>3395000</v>
      </c>
      <c r="N137">
        <v>0</v>
      </c>
      <c r="O137" t="s">
        <v>103</v>
      </c>
      <c r="P137" t="s">
        <v>30</v>
      </c>
      <c r="Q137" t="s">
        <v>43</v>
      </c>
      <c r="R137" t="s">
        <v>372</v>
      </c>
      <c r="S137" t="s">
        <v>43</v>
      </c>
      <c r="T137">
        <v>11144.578313253012</v>
      </c>
      <c r="U137">
        <v>6045.751633986928</v>
      </c>
      <c r="V137">
        <v>10225.903614457831</v>
      </c>
      <c r="W137">
        <v>5547.3856209150326</v>
      </c>
      <c r="X137">
        <f ca="1">IF(ISNUMBER(properties[[#This Row],[archivedDate]]),properties[[#This Row],[archivedDate]]-properties[[#This Row],[addedDate]],TODAY()-properties[[#This Row],[addedDate]])</f>
        <v>29</v>
      </c>
      <c r="Y137">
        <f ca="1">IF(ISNUMBER(properties[[#This Row],[archivedDate]]),properties[[#This Row],[archivedDate]]-properties[[#This Row],[addedDate]],TODAY()-properties[[#This Row],[addedDate]])</f>
        <v>29</v>
      </c>
    </row>
    <row r="138" spans="1:25" x14ac:dyDescent="0.25">
      <c r="A138" s="1">
        <v>45771</v>
      </c>
      <c r="B138" t="s">
        <v>547</v>
      </c>
      <c r="C138" t="s">
        <v>372</v>
      </c>
      <c r="D138" s="1">
        <v>45814</v>
      </c>
      <c r="E138" t="s">
        <v>68</v>
      </c>
      <c r="F138">
        <v>3</v>
      </c>
      <c r="G138" t="s">
        <v>548</v>
      </c>
      <c r="H138" t="s">
        <v>549</v>
      </c>
      <c r="I138">
        <v>225</v>
      </c>
      <c r="J138">
        <v>389</v>
      </c>
      <c r="K138">
        <v>1300000</v>
      </c>
      <c r="L138" t="s">
        <v>28</v>
      </c>
      <c r="M138">
        <v>1100000</v>
      </c>
      <c r="N138">
        <v>0</v>
      </c>
      <c r="O138" t="s">
        <v>103</v>
      </c>
      <c r="P138" t="s">
        <v>30</v>
      </c>
      <c r="Q138" t="s">
        <v>43</v>
      </c>
      <c r="R138" t="s">
        <v>372</v>
      </c>
      <c r="S138" t="s">
        <v>43</v>
      </c>
      <c r="T138">
        <v>5777.7777777777774</v>
      </c>
      <c r="U138">
        <v>3341.9023136246788</v>
      </c>
      <c r="V138">
        <v>4888.8888888888887</v>
      </c>
      <c r="W138">
        <v>2827.7634961439589</v>
      </c>
      <c r="X138">
        <f ca="1">IF(ISNUMBER(properties[[#This Row],[archivedDate]]),properties[[#This Row],[archivedDate]]-properties[[#This Row],[addedDate]],TODAY()-properties[[#This Row],[addedDate]])</f>
        <v>43</v>
      </c>
      <c r="Y138">
        <f ca="1">IF(ISNUMBER(properties[[#This Row],[archivedDate]]),properties[[#This Row],[archivedDate]]-properties[[#This Row],[addedDate]],TODAY()-properties[[#This Row],[addedDate]])</f>
        <v>43</v>
      </c>
    </row>
    <row r="139" spans="1:25" x14ac:dyDescent="0.25">
      <c r="A139" s="1">
        <v>45771</v>
      </c>
      <c r="B139" t="s">
        <v>550</v>
      </c>
      <c r="C139" t="s">
        <v>372</v>
      </c>
      <c r="D139" s="1">
        <v>45777</v>
      </c>
      <c r="E139" t="s">
        <v>551</v>
      </c>
      <c r="F139">
        <v>2</v>
      </c>
      <c r="G139" t="s">
        <v>552</v>
      </c>
      <c r="H139" t="s">
        <v>553</v>
      </c>
      <c r="I139">
        <v>214</v>
      </c>
      <c r="J139">
        <v>2230</v>
      </c>
      <c r="K139">
        <v>0</v>
      </c>
      <c r="L139" t="s">
        <v>28</v>
      </c>
      <c r="M139">
        <v>4995000</v>
      </c>
      <c r="N139">
        <v>0</v>
      </c>
      <c r="O139" t="s">
        <v>103</v>
      </c>
      <c r="P139" t="s">
        <v>30</v>
      </c>
      <c r="Q139" t="s">
        <v>43</v>
      </c>
      <c r="R139" t="s">
        <v>372</v>
      </c>
      <c r="S139" t="s">
        <v>43</v>
      </c>
      <c r="V139">
        <v>23341.121495327101</v>
      </c>
      <c r="W139">
        <v>2239.9103139013455</v>
      </c>
      <c r="X139">
        <f ca="1">IF(ISNUMBER(properties[[#This Row],[archivedDate]]),properties[[#This Row],[archivedDate]]-properties[[#This Row],[addedDate]],TODAY()-properties[[#This Row],[addedDate]])</f>
        <v>6</v>
      </c>
      <c r="Y139">
        <f ca="1">IF(ISNUMBER(properties[[#This Row],[archivedDate]]),properties[[#This Row],[archivedDate]]-properties[[#This Row],[addedDate]],TODAY()-properties[[#This Row],[addedDate]])</f>
        <v>6</v>
      </c>
    </row>
    <row r="140" spans="1:25" x14ac:dyDescent="0.25">
      <c r="A140" s="1">
        <v>45772</v>
      </c>
      <c r="B140" t="s">
        <v>554</v>
      </c>
      <c r="C140" t="s">
        <v>372</v>
      </c>
      <c r="D140" s="1">
        <v>45877</v>
      </c>
      <c r="E140" t="s">
        <v>316</v>
      </c>
      <c r="F140">
        <v>2</v>
      </c>
      <c r="G140" t="s">
        <v>555</v>
      </c>
      <c r="H140" t="s">
        <v>556</v>
      </c>
      <c r="I140">
        <v>247</v>
      </c>
      <c r="J140">
        <v>478</v>
      </c>
      <c r="K140">
        <v>2150000</v>
      </c>
      <c r="L140" t="s">
        <v>28</v>
      </c>
      <c r="M140">
        <v>2795000</v>
      </c>
      <c r="N140">
        <v>0</v>
      </c>
      <c r="O140" t="s">
        <v>103</v>
      </c>
      <c r="P140" t="s">
        <v>30</v>
      </c>
      <c r="Q140" t="s">
        <v>43</v>
      </c>
      <c r="R140" t="s">
        <v>372</v>
      </c>
      <c r="S140" t="s">
        <v>43</v>
      </c>
      <c r="T140">
        <v>8704.4534412955472</v>
      </c>
      <c r="U140">
        <v>4497.9079497907951</v>
      </c>
      <c r="V140">
        <v>11315.78947368421</v>
      </c>
      <c r="W140">
        <v>5847.2803347280333</v>
      </c>
      <c r="X140">
        <f ca="1">IF(ISNUMBER(properties[[#This Row],[archivedDate]]),properties[[#This Row],[archivedDate]]-properties[[#This Row],[addedDate]],TODAY()-properties[[#This Row],[addedDate]])</f>
        <v>105</v>
      </c>
      <c r="Y140">
        <f ca="1">IF(ISNUMBER(properties[[#This Row],[archivedDate]]),properties[[#This Row],[archivedDate]]-properties[[#This Row],[addedDate]],TODAY()-properties[[#This Row],[addedDate]])</f>
        <v>105</v>
      </c>
    </row>
    <row r="141" spans="1:25" x14ac:dyDescent="0.25">
      <c r="A141" s="1">
        <v>45775</v>
      </c>
      <c r="B141" t="s">
        <v>557</v>
      </c>
      <c r="C141" t="s">
        <v>120</v>
      </c>
      <c r="D141" s="1">
        <v>45890</v>
      </c>
      <c r="E141" t="s">
        <v>34</v>
      </c>
      <c r="F141">
        <v>0</v>
      </c>
      <c r="G141" t="s">
        <v>558</v>
      </c>
      <c r="H141" t="s">
        <v>559</v>
      </c>
      <c r="I141">
        <v>400</v>
      </c>
      <c r="J141">
        <v>400</v>
      </c>
      <c r="K141">
        <v>0</v>
      </c>
      <c r="L141" t="s">
        <v>28</v>
      </c>
      <c r="M141">
        <v>1400000</v>
      </c>
      <c r="N141">
        <v>0</v>
      </c>
      <c r="O141" t="s">
        <v>103</v>
      </c>
      <c r="P141" t="s">
        <v>98</v>
      </c>
      <c r="Q141" t="s">
        <v>43</v>
      </c>
      <c r="R141" t="s">
        <v>124</v>
      </c>
      <c r="S141" t="s">
        <v>43</v>
      </c>
      <c r="V141">
        <v>3500</v>
      </c>
      <c r="W141">
        <v>3500</v>
      </c>
      <c r="X141">
        <f ca="1">IF(ISNUMBER(properties[[#This Row],[archivedDate]]),properties[[#This Row],[archivedDate]]-properties[[#This Row],[addedDate]],TODAY()-properties[[#This Row],[addedDate]])</f>
        <v>115</v>
      </c>
      <c r="Y141">
        <f ca="1">IF(ISNUMBER(properties[[#This Row],[archivedDate]]),properties[[#This Row],[archivedDate]]-properties[[#This Row],[addedDate]],TODAY()-properties[[#This Row],[addedDate]])</f>
        <v>115</v>
      </c>
    </row>
    <row r="142" spans="1:25" x14ac:dyDescent="0.25">
      <c r="A142" s="1">
        <v>45776</v>
      </c>
      <c r="B142" t="s">
        <v>560</v>
      </c>
      <c r="C142" t="s">
        <v>120</v>
      </c>
      <c r="D142" s="1">
        <v>45828</v>
      </c>
      <c r="E142" t="s">
        <v>350</v>
      </c>
      <c r="F142">
        <v>0</v>
      </c>
      <c r="G142" t="s">
        <v>561</v>
      </c>
      <c r="H142" t="s">
        <v>562</v>
      </c>
      <c r="I142">
        <v>12180</v>
      </c>
      <c r="J142">
        <v>12180</v>
      </c>
      <c r="K142">
        <v>0</v>
      </c>
      <c r="L142" t="s">
        <v>28</v>
      </c>
      <c r="M142">
        <v>800000</v>
      </c>
      <c r="N142">
        <v>0</v>
      </c>
      <c r="O142" t="s">
        <v>103</v>
      </c>
      <c r="P142" t="s">
        <v>194</v>
      </c>
      <c r="Q142" t="s">
        <v>43</v>
      </c>
      <c r="R142" t="s">
        <v>124</v>
      </c>
      <c r="S142" t="s">
        <v>43</v>
      </c>
      <c r="V142">
        <v>65.681444991789817</v>
      </c>
      <c r="W142">
        <v>65.681444991789817</v>
      </c>
      <c r="X142">
        <f ca="1">IF(ISNUMBER(properties[[#This Row],[archivedDate]]),properties[[#This Row],[archivedDate]]-properties[[#This Row],[addedDate]],TODAY()-properties[[#This Row],[addedDate]])</f>
        <v>52</v>
      </c>
      <c r="Y142">
        <f ca="1">IF(ISNUMBER(properties[[#This Row],[archivedDate]]),properties[[#This Row],[archivedDate]]-properties[[#This Row],[addedDate]],TODAY()-properties[[#This Row],[addedDate]])</f>
        <v>52</v>
      </c>
    </row>
    <row r="143" spans="1:25" x14ac:dyDescent="0.25">
      <c r="A143" s="1">
        <v>45776</v>
      </c>
      <c r="B143" t="s">
        <v>563</v>
      </c>
      <c r="C143" t="s">
        <v>372</v>
      </c>
      <c r="D143" s="1">
        <v>45805</v>
      </c>
      <c r="E143" t="s">
        <v>77</v>
      </c>
      <c r="F143">
        <v>2</v>
      </c>
      <c r="G143" t="s">
        <v>564</v>
      </c>
      <c r="H143" t="s">
        <v>565</v>
      </c>
      <c r="I143">
        <v>229</v>
      </c>
      <c r="J143">
        <v>619</v>
      </c>
      <c r="K143">
        <v>2600000</v>
      </c>
      <c r="L143" t="s">
        <v>28</v>
      </c>
      <c r="M143">
        <v>2475000</v>
      </c>
      <c r="N143">
        <v>0</v>
      </c>
      <c r="O143" t="s">
        <v>103</v>
      </c>
      <c r="P143" t="s">
        <v>30</v>
      </c>
      <c r="Q143" t="s">
        <v>43</v>
      </c>
      <c r="R143" t="s">
        <v>372</v>
      </c>
      <c r="S143" t="s">
        <v>43</v>
      </c>
      <c r="T143">
        <v>11353.711790393014</v>
      </c>
      <c r="U143">
        <v>4200.3231017770595</v>
      </c>
      <c r="V143">
        <v>10807.860262008733</v>
      </c>
      <c r="W143">
        <v>3998.3844911147012</v>
      </c>
      <c r="X143">
        <f ca="1">IF(ISNUMBER(properties[[#This Row],[archivedDate]]),properties[[#This Row],[archivedDate]]-properties[[#This Row],[addedDate]],TODAY()-properties[[#This Row],[addedDate]])</f>
        <v>29</v>
      </c>
      <c r="Y143">
        <f ca="1">IF(ISNUMBER(properties[[#This Row],[archivedDate]]),properties[[#This Row],[archivedDate]]-properties[[#This Row],[addedDate]],TODAY()-properties[[#This Row],[addedDate]])</f>
        <v>29</v>
      </c>
    </row>
    <row r="144" spans="1:25" x14ac:dyDescent="0.25">
      <c r="A144" s="1">
        <v>45776</v>
      </c>
      <c r="B144" t="s">
        <v>566</v>
      </c>
      <c r="C144" t="s">
        <v>372</v>
      </c>
      <c r="D144" s="1">
        <v>45831</v>
      </c>
      <c r="E144" t="s">
        <v>567</v>
      </c>
      <c r="F144">
        <v>2</v>
      </c>
      <c r="G144" t="s">
        <v>568</v>
      </c>
      <c r="H144" t="s">
        <v>569</v>
      </c>
      <c r="I144">
        <v>133</v>
      </c>
      <c r="J144">
        <v>341</v>
      </c>
      <c r="K144">
        <v>500000</v>
      </c>
      <c r="L144" t="s">
        <v>28</v>
      </c>
      <c r="M144">
        <v>795000</v>
      </c>
      <c r="N144">
        <v>0</v>
      </c>
      <c r="O144" t="s">
        <v>103</v>
      </c>
      <c r="P144" t="s">
        <v>30</v>
      </c>
      <c r="Q144" t="s">
        <v>43</v>
      </c>
      <c r="R144" t="s">
        <v>372</v>
      </c>
      <c r="S144" t="s">
        <v>43</v>
      </c>
      <c r="T144">
        <v>3759.3984962406016</v>
      </c>
      <c r="U144">
        <v>1466.2756598240469</v>
      </c>
      <c r="V144">
        <v>5977.4436090225563</v>
      </c>
      <c r="W144">
        <v>2331.3782991202347</v>
      </c>
      <c r="X144">
        <f ca="1">IF(ISNUMBER(properties[[#This Row],[archivedDate]]),properties[[#This Row],[archivedDate]]-properties[[#This Row],[addedDate]],TODAY()-properties[[#This Row],[addedDate]])</f>
        <v>55</v>
      </c>
      <c r="Y144">
        <f ca="1">IF(ISNUMBER(properties[[#This Row],[archivedDate]]),properties[[#This Row],[archivedDate]]-properties[[#This Row],[addedDate]],TODAY()-properties[[#This Row],[addedDate]])</f>
        <v>55</v>
      </c>
    </row>
    <row r="145" spans="1:25" x14ac:dyDescent="0.25">
      <c r="A145" s="1">
        <v>45776</v>
      </c>
      <c r="B145" t="s">
        <v>570</v>
      </c>
      <c r="C145" t="s">
        <v>372</v>
      </c>
      <c r="D145" s="1">
        <v>45842</v>
      </c>
      <c r="E145" t="s">
        <v>82</v>
      </c>
      <c r="F145">
        <v>2</v>
      </c>
      <c r="G145" t="s">
        <v>571</v>
      </c>
      <c r="H145" t="s">
        <v>572</v>
      </c>
      <c r="I145">
        <v>254</v>
      </c>
      <c r="J145">
        <v>893</v>
      </c>
      <c r="K145">
        <v>2700000</v>
      </c>
      <c r="L145" t="s">
        <v>28</v>
      </c>
      <c r="M145">
        <v>2475000</v>
      </c>
      <c r="N145">
        <v>0</v>
      </c>
      <c r="O145" t="s">
        <v>103</v>
      </c>
      <c r="P145" t="s">
        <v>30</v>
      </c>
      <c r="Q145" t="s">
        <v>43</v>
      </c>
      <c r="R145" t="s">
        <v>372</v>
      </c>
      <c r="S145" t="s">
        <v>43</v>
      </c>
      <c r="T145">
        <v>10629.92125984252</v>
      </c>
      <c r="U145">
        <v>3023.5162374020156</v>
      </c>
      <c r="V145">
        <v>9744.0944881889773</v>
      </c>
      <c r="W145">
        <v>2771.5565509518478</v>
      </c>
      <c r="X145">
        <f ca="1">IF(ISNUMBER(properties[[#This Row],[archivedDate]]),properties[[#This Row],[archivedDate]]-properties[[#This Row],[addedDate]],TODAY()-properties[[#This Row],[addedDate]])</f>
        <v>66</v>
      </c>
      <c r="Y145">
        <f ca="1">IF(ISNUMBER(properties[[#This Row],[archivedDate]]),properties[[#This Row],[archivedDate]]-properties[[#This Row],[addedDate]],TODAY()-properties[[#This Row],[addedDate]])</f>
        <v>66</v>
      </c>
    </row>
    <row r="146" spans="1:25" x14ac:dyDescent="0.25">
      <c r="A146" s="1">
        <v>45777</v>
      </c>
      <c r="B146" t="s">
        <v>573</v>
      </c>
      <c r="C146" t="s">
        <v>372</v>
      </c>
      <c r="D146" s="1">
        <v>45805</v>
      </c>
      <c r="E146" t="s">
        <v>165</v>
      </c>
      <c r="F146">
        <v>1</v>
      </c>
      <c r="G146" t="s">
        <v>574</v>
      </c>
      <c r="H146" t="s">
        <v>575</v>
      </c>
      <c r="I146">
        <v>179</v>
      </c>
      <c r="J146">
        <v>699</v>
      </c>
      <c r="K146">
        <v>2750000</v>
      </c>
      <c r="L146" t="s">
        <v>28</v>
      </c>
      <c r="M146">
        <v>2450000</v>
      </c>
      <c r="N146">
        <v>0</v>
      </c>
      <c r="O146" t="s">
        <v>103</v>
      </c>
      <c r="P146" t="s">
        <v>30</v>
      </c>
      <c r="Q146" t="s">
        <v>43</v>
      </c>
      <c r="R146" t="s">
        <v>372</v>
      </c>
      <c r="S146" t="s">
        <v>43</v>
      </c>
      <c r="T146">
        <v>15363.128491620111</v>
      </c>
      <c r="U146">
        <v>3934.191702432046</v>
      </c>
      <c r="V146">
        <v>13687.150837988827</v>
      </c>
      <c r="W146">
        <v>3505.0071530758228</v>
      </c>
      <c r="X146">
        <f ca="1">IF(ISNUMBER(properties[[#This Row],[archivedDate]]),properties[[#This Row],[archivedDate]]-properties[[#This Row],[addedDate]],TODAY()-properties[[#This Row],[addedDate]])</f>
        <v>28</v>
      </c>
      <c r="Y146">
        <f ca="1">IF(ISNUMBER(properties[[#This Row],[archivedDate]]),properties[[#This Row],[archivedDate]]-properties[[#This Row],[addedDate]],TODAY()-properties[[#This Row],[addedDate]])</f>
        <v>28</v>
      </c>
    </row>
    <row r="147" spans="1:25" x14ac:dyDescent="0.25">
      <c r="A147" s="1">
        <v>45778</v>
      </c>
      <c r="B147" t="s">
        <v>576</v>
      </c>
      <c r="C147" t="s">
        <v>120</v>
      </c>
      <c r="D147" s="1">
        <v>45848</v>
      </c>
      <c r="E147" t="s">
        <v>46</v>
      </c>
      <c r="F147">
        <v>0</v>
      </c>
      <c r="G147" t="s">
        <v>577</v>
      </c>
      <c r="H147" t="s">
        <v>578</v>
      </c>
      <c r="I147">
        <v>97</v>
      </c>
      <c r="J147">
        <v>97</v>
      </c>
      <c r="K147">
        <v>0</v>
      </c>
      <c r="L147" t="s">
        <v>28</v>
      </c>
      <c r="M147">
        <v>1895000</v>
      </c>
      <c r="N147">
        <v>0</v>
      </c>
      <c r="O147" t="s">
        <v>103</v>
      </c>
      <c r="P147" t="s">
        <v>185</v>
      </c>
      <c r="Q147" t="s">
        <v>43</v>
      </c>
      <c r="R147" t="s">
        <v>124</v>
      </c>
      <c r="S147" t="s">
        <v>43</v>
      </c>
      <c r="V147">
        <v>19536.082474226805</v>
      </c>
      <c r="W147">
        <v>19536.082474226805</v>
      </c>
      <c r="X147">
        <f ca="1">IF(ISNUMBER(properties[[#This Row],[archivedDate]]),properties[[#This Row],[archivedDate]]-properties[[#This Row],[addedDate]],TODAY()-properties[[#This Row],[addedDate]])</f>
        <v>70</v>
      </c>
      <c r="Y147">
        <f ca="1">IF(ISNUMBER(properties[[#This Row],[archivedDate]]),properties[[#This Row],[archivedDate]]-properties[[#This Row],[addedDate]],TODAY()-properties[[#This Row],[addedDate]])</f>
        <v>70</v>
      </c>
    </row>
    <row r="148" spans="1:25" x14ac:dyDescent="0.25">
      <c r="A148" s="1">
        <v>45779</v>
      </c>
      <c r="B148" t="s">
        <v>579</v>
      </c>
      <c r="C148" t="s">
        <v>372</v>
      </c>
      <c r="D148" s="1">
        <v>46035</v>
      </c>
      <c r="E148" t="s">
        <v>580</v>
      </c>
      <c r="F148">
        <v>0</v>
      </c>
      <c r="G148" t="s">
        <v>581</v>
      </c>
      <c r="H148" t="s">
        <v>582</v>
      </c>
      <c r="I148">
        <v>0</v>
      </c>
      <c r="J148">
        <v>609</v>
      </c>
      <c r="K148">
        <v>190000</v>
      </c>
      <c r="L148" t="s">
        <v>28</v>
      </c>
      <c r="M148">
        <v>295000</v>
      </c>
      <c r="N148">
        <v>0</v>
      </c>
      <c r="O148" t="s">
        <v>103</v>
      </c>
      <c r="P148" t="s">
        <v>98</v>
      </c>
      <c r="Q148" t="s">
        <v>43</v>
      </c>
      <c r="R148" t="s">
        <v>372</v>
      </c>
      <c r="S148" t="s">
        <v>43</v>
      </c>
      <c r="U148">
        <v>311.98686371100166</v>
      </c>
      <c r="W148">
        <v>484.40065681444992</v>
      </c>
      <c r="X148">
        <f ca="1">IF(ISNUMBER(properties[[#This Row],[archivedDate]]),properties[[#This Row],[archivedDate]]-properties[[#This Row],[addedDate]],TODAY()-properties[[#This Row],[addedDate]])</f>
        <v>256</v>
      </c>
      <c r="Y148">
        <f ca="1">IF(ISNUMBER(properties[[#This Row],[archivedDate]]),properties[[#This Row],[archivedDate]]-properties[[#This Row],[addedDate]],TODAY()-properties[[#This Row],[addedDate]])</f>
        <v>256</v>
      </c>
    </row>
    <row r="149" spans="1:25" x14ac:dyDescent="0.25">
      <c r="A149" s="1">
        <v>45779</v>
      </c>
      <c r="B149" t="s">
        <v>583</v>
      </c>
      <c r="C149" t="s">
        <v>372</v>
      </c>
      <c r="D149" s="1">
        <v>45799</v>
      </c>
      <c r="E149" t="s">
        <v>34</v>
      </c>
      <c r="F149">
        <v>0</v>
      </c>
      <c r="G149" t="s">
        <v>584</v>
      </c>
      <c r="H149" t="s">
        <v>585</v>
      </c>
      <c r="I149">
        <v>0</v>
      </c>
      <c r="J149">
        <v>420</v>
      </c>
      <c r="K149">
        <v>1900000</v>
      </c>
      <c r="L149" t="s">
        <v>28</v>
      </c>
      <c r="M149">
        <v>1900000</v>
      </c>
      <c r="N149">
        <v>0</v>
      </c>
      <c r="O149" t="s">
        <v>103</v>
      </c>
      <c r="P149" t="s">
        <v>98</v>
      </c>
      <c r="Q149" t="s">
        <v>43</v>
      </c>
      <c r="R149" t="s">
        <v>372</v>
      </c>
      <c r="S149" t="s">
        <v>43</v>
      </c>
      <c r="U149">
        <v>4523.8095238095239</v>
      </c>
      <c r="W149">
        <v>4523.8095238095239</v>
      </c>
      <c r="X149">
        <f ca="1">IF(ISNUMBER(properties[[#This Row],[archivedDate]]),properties[[#This Row],[archivedDate]]-properties[[#This Row],[addedDate]],TODAY()-properties[[#This Row],[addedDate]])</f>
        <v>20</v>
      </c>
      <c r="Y149">
        <f ca="1">IF(ISNUMBER(properties[[#This Row],[archivedDate]]),properties[[#This Row],[archivedDate]]-properties[[#This Row],[addedDate]],TODAY()-properties[[#This Row],[addedDate]])</f>
        <v>20</v>
      </c>
    </row>
    <row r="150" spans="1:25" x14ac:dyDescent="0.25">
      <c r="A150" s="1">
        <v>45782</v>
      </c>
      <c r="B150" t="s">
        <v>586</v>
      </c>
      <c r="C150" t="s">
        <v>372</v>
      </c>
      <c r="D150" s="1">
        <v>45817</v>
      </c>
      <c r="E150" t="s">
        <v>34</v>
      </c>
      <c r="F150">
        <v>3</v>
      </c>
      <c r="G150" t="s">
        <v>587</v>
      </c>
      <c r="H150" t="s">
        <v>588</v>
      </c>
      <c r="I150">
        <v>190</v>
      </c>
      <c r="J150">
        <v>348</v>
      </c>
      <c r="K150">
        <v>4900000</v>
      </c>
      <c r="L150" t="s">
        <v>28</v>
      </c>
      <c r="M150">
        <v>4495000</v>
      </c>
      <c r="N150">
        <v>0</v>
      </c>
      <c r="O150" t="s">
        <v>103</v>
      </c>
      <c r="P150" t="s">
        <v>297</v>
      </c>
      <c r="Q150" t="s">
        <v>43</v>
      </c>
      <c r="R150" t="s">
        <v>372</v>
      </c>
      <c r="S150" t="s">
        <v>43</v>
      </c>
      <c r="T150">
        <v>25789.473684210527</v>
      </c>
      <c r="U150">
        <v>14080.459770114943</v>
      </c>
      <c r="V150">
        <v>23657.894736842107</v>
      </c>
      <c r="W150">
        <v>12916.666666666666</v>
      </c>
      <c r="X150">
        <f ca="1">IF(ISNUMBER(properties[[#This Row],[archivedDate]]),properties[[#This Row],[archivedDate]]-properties[[#This Row],[addedDate]],TODAY()-properties[[#This Row],[addedDate]])</f>
        <v>35</v>
      </c>
      <c r="Y150">
        <f ca="1">IF(ISNUMBER(properties[[#This Row],[archivedDate]]),properties[[#This Row],[archivedDate]]-properties[[#This Row],[addedDate]],TODAY()-properties[[#This Row],[addedDate]])</f>
        <v>35</v>
      </c>
    </row>
    <row r="151" spans="1:25" x14ac:dyDescent="0.25">
      <c r="A151" s="1">
        <v>45784</v>
      </c>
      <c r="B151" t="s">
        <v>589</v>
      </c>
      <c r="C151" t="s">
        <v>120</v>
      </c>
      <c r="D151" s="1">
        <v>45852</v>
      </c>
      <c r="E151" t="s">
        <v>40</v>
      </c>
      <c r="F151">
        <v>0</v>
      </c>
      <c r="G151" t="s">
        <v>590</v>
      </c>
      <c r="H151" t="s">
        <v>591</v>
      </c>
      <c r="I151">
        <v>110</v>
      </c>
      <c r="J151">
        <v>308</v>
      </c>
      <c r="K151">
        <v>0</v>
      </c>
      <c r="L151" t="s">
        <v>28</v>
      </c>
      <c r="M151">
        <v>1995000</v>
      </c>
      <c r="N151">
        <v>0</v>
      </c>
      <c r="O151" t="s">
        <v>103</v>
      </c>
      <c r="P151" t="s">
        <v>185</v>
      </c>
      <c r="Q151" t="s">
        <v>43</v>
      </c>
      <c r="R151" t="s">
        <v>124</v>
      </c>
      <c r="S151" t="s">
        <v>43</v>
      </c>
      <c r="V151">
        <v>18136.363636363636</v>
      </c>
      <c r="W151">
        <v>6477.272727272727</v>
      </c>
      <c r="X151">
        <f ca="1">IF(ISNUMBER(properties[[#This Row],[archivedDate]]),properties[[#This Row],[archivedDate]]-properties[[#This Row],[addedDate]],TODAY()-properties[[#This Row],[addedDate]])</f>
        <v>68</v>
      </c>
      <c r="Y151">
        <f ca="1">IF(ISNUMBER(properties[[#This Row],[archivedDate]]),properties[[#This Row],[archivedDate]]-properties[[#This Row],[addedDate]],TODAY()-properties[[#This Row],[addedDate]])</f>
        <v>68</v>
      </c>
    </row>
    <row r="152" spans="1:25" x14ac:dyDescent="0.25">
      <c r="A152" s="1">
        <v>45784</v>
      </c>
      <c r="B152" t="s">
        <v>592</v>
      </c>
      <c r="C152" t="s">
        <v>372</v>
      </c>
      <c r="D152" s="1">
        <v>45821</v>
      </c>
      <c r="E152" t="s">
        <v>34</v>
      </c>
      <c r="F152">
        <v>0</v>
      </c>
      <c r="G152" t="s">
        <v>593</v>
      </c>
      <c r="H152" t="s">
        <v>594</v>
      </c>
      <c r="I152">
        <v>0</v>
      </c>
      <c r="J152">
        <v>645</v>
      </c>
      <c r="K152">
        <v>2500000</v>
      </c>
      <c r="L152" t="s">
        <v>28</v>
      </c>
      <c r="M152">
        <v>1995000</v>
      </c>
      <c r="N152">
        <v>0</v>
      </c>
      <c r="O152" t="s">
        <v>103</v>
      </c>
      <c r="P152" t="s">
        <v>98</v>
      </c>
      <c r="Q152" t="s">
        <v>43</v>
      </c>
      <c r="R152" t="s">
        <v>372</v>
      </c>
      <c r="S152" t="s">
        <v>43</v>
      </c>
      <c r="U152">
        <v>3875.968992248062</v>
      </c>
      <c r="W152">
        <v>3093.0232558139537</v>
      </c>
      <c r="X152">
        <f ca="1">IF(ISNUMBER(properties[[#This Row],[archivedDate]]),properties[[#This Row],[archivedDate]]-properties[[#This Row],[addedDate]],TODAY()-properties[[#This Row],[addedDate]])</f>
        <v>37</v>
      </c>
      <c r="Y152">
        <f ca="1">IF(ISNUMBER(properties[[#This Row],[archivedDate]]),properties[[#This Row],[archivedDate]]-properties[[#This Row],[addedDate]],TODAY()-properties[[#This Row],[addedDate]])</f>
        <v>37</v>
      </c>
    </row>
    <row r="153" spans="1:25" x14ac:dyDescent="0.25">
      <c r="A153" s="1">
        <v>45785</v>
      </c>
      <c r="B153" t="s">
        <v>595</v>
      </c>
      <c r="C153" t="s">
        <v>372</v>
      </c>
      <c r="D153" s="1">
        <v>45832</v>
      </c>
      <c r="E153" t="s">
        <v>141</v>
      </c>
      <c r="F153">
        <v>1</v>
      </c>
      <c r="G153" t="s">
        <v>596</v>
      </c>
      <c r="H153" t="s">
        <v>597</v>
      </c>
      <c r="I153">
        <v>33</v>
      </c>
      <c r="J153">
        <v>4217</v>
      </c>
      <c r="K153">
        <v>800000</v>
      </c>
      <c r="L153" t="s">
        <v>28</v>
      </c>
      <c r="M153">
        <v>600000</v>
      </c>
      <c r="N153">
        <v>0</v>
      </c>
      <c r="O153" t="s">
        <v>103</v>
      </c>
      <c r="P153" t="s">
        <v>194</v>
      </c>
      <c r="Q153" t="s">
        <v>43</v>
      </c>
      <c r="R153" t="s">
        <v>372</v>
      </c>
      <c r="S153" t="s">
        <v>43</v>
      </c>
      <c r="T153">
        <v>24242.424242424244</v>
      </c>
      <c r="U153">
        <v>189.70832345269147</v>
      </c>
      <c r="V153">
        <v>18181.81818181818</v>
      </c>
      <c r="W153">
        <v>142.28124258951863</v>
      </c>
      <c r="X153">
        <f ca="1">IF(ISNUMBER(properties[[#This Row],[archivedDate]]),properties[[#This Row],[archivedDate]]-properties[[#This Row],[addedDate]],TODAY()-properties[[#This Row],[addedDate]])</f>
        <v>47</v>
      </c>
      <c r="Y153">
        <f ca="1">IF(ISNUMBER(properties[[#This Row],[archivedDate]]),properties[[#This Row],[archivedDate]]-properties[[#This Row],[addedDate]],TODAY()-properties[[#This Row],[addedDate]])</f>
        <v>47</v>
      </c>
    </row>
    <row r="154" spans="1:25" x14ac:dyDescent="0.25">
      <c r="A154" s="1">
        <v>45786</v>
      </c>
      <c r="B154" t="s">
        <v>598</v>
      </c>
      <c r="C154" t="s">
        <v>120</v>
      </c>
      <c r="D154" s="1">
        <v>45852</v>
      </c>
      <c r="E154" t="s">
        <v>46</v>
      </c>
      <c r="F154">
        <v>0</v>
      </c>
      <c r="G154" t="s">
        <v>599</v>
      </c>
      <c r="H154" t="s">
        <v>600</v>
      </c>
      <c r="I154">
        <v>156</v>
      </c>
      <c r="J154">
        <v>159</v>
      </c>
      <c r="K154">
        <v>0</v>
      </c>
      <c r="L154" t="s">
        <v>28</v>
      </c>
      <c r="M154">
        <v>5795000</v>
      </c>
      <c r="N154">
        <v>0</v>
      </c>
      <c r="O154" t="s">
        <v>103</v>
      </c>
      <c r="P154" t="s">
        <v>108</v>
      </c>
      <c r="Q154" t="s">
        <v>43</v>
      </c>
      <c r="R154" t="s">
        <v>124</v>
      </c>
      <c r="S154" t="s">
        <v>601</v>
      </c>
      <c r="V154">
        <v>37147.435897435898</v>
      </c>
      <c r="W154">
        <v>36446.540880503147</v>
      </c>
      <c r="X154">
        <f ca="1">IF(ISNUMBER(properties[[#This Row],[archivedDate]]),properties[[#This Row],[archivedDate]]-properties[[#This Row],[addedDate]],TODAY()-properties[[#This Row],[addedDate]])</f>
        <v>66</v>
      </c>
      <c r="Y154">
        <f ca="1">IF(ISNUMBER(properties[[#This Row],[archivedDate]]),properties[[#This Row],[archivedDate]]-properties[[#This Row],[addedDate]],TODAY()-properties[[#This Row],[addedDate]])</f>
        <v>66</v>
      </c>
    </row>
    <row r="155" spans="1:25" x14ac:dyDescent="0.25">
      <c r="A155" s="1">
        <v>45786</v>
      </c>
      <c r="B155" t="s">
        <v>602</v>
      </c>
      <c r="C155" t="s">
        <v>120</v>
      </c>
      <c r="D155" s="1">
        <v>45828</v>
      </c>
      <c r="E155" t="s">
        <v>316</v>
      </c>
      <c r="F155">
        <v>0</v>
      </c>
      <c r="G155" t="s">
        <v>603</v>
      </c>
      <c r="H155" t="s">
        <v>604</v>
      </c>
      <c r="I155">
        <v>456</v>
      </c>
      <c r="J155">
        <v>456</v>
      </c>
      <c r="K155">
        <v>1900000</v>
      </c>
      <c r="L155" t="s">
        <v>28</v>
      </c>
      <c r="M155">
        <v>1500000</v>
      </c>
      <c r="N155">
        <v>0</v>
      </c>
      <c r="O155" t="s">
        <v>103</v>
      </c>
      <c r="P155" t="s">
        <v>98</v>
      </c>
      <c r="Q155" t="s">
        <v>43</v>
      </c>
      <c r="R155" t="s">
        <v>124</v>
      </c>
      <c r="S155" t="s">
        <v>43</v>
      </c>
      <c r="T155">
        <v>4166.666666666667</v>
      </c>
      <c r="U155">
        <v>4166.666666666667</v>
      </c>
      <c r="V155">
        <v>3289.4736842105262</v>
      </c>
      <c r="W155">
        <v>3289.4736842105262</v>
      </c>
      <c r="X155">
        <f ca="1">IF(ISNUMBER(properties[[#This Row],[archivedDate]]),properties[[#This Row],[archivedDate]]-properties[[#This Row],[addedDate]],TODAY()-properties[[#This Row],[addedDate]])</f>
        <v>42</v>
      </c>
      <c r="Y155">
        <f ca="1">IF(ISNUMBER(properties[[#This Row],[archivedDate]]),properties[[#This Row],[archivedDate]]-properties[[#This Row],[addedDate]],TODAY()-properties[[#This Row],[addedDate]])</f>
        <v>42</v>
      </c>
    </row>
    <row r="156" spans="1:25" x14ac:dyDescent="0.25">
      <c r="A156" s="1">
        <v>45786</v>
      </c>
      <c r="B156" t="s">
        <v>605</v>
      </c>
      <c r="C156" t="s">
        <v>120</v>
      </c>
      <c r="D156" s="1">
        <v>45842</v>
      </c>
      <c r="E156" t="s">
        <v>215</v>
      </c>
      <c r="F156">
        <v>0</v>
      </c>
      <c r="G156" t="s">
        <v>606</v>
      </c>
      <c r="H156" t="s">
        <v>607</v>
      </c>
      <c r="I156">
        <v>74</v>
      </c>
      <c r="J156">
        <v>74</v>
      </c>
      <c r="K156">
        <v>2795000</v>
      </c>
      <c r="L156" t="s">
        <v>28</v>
      </c>
      <c r="M156">
        <v>2795000</v>
      </c>
      <c r="N156">
        <v>0</v>
      </c>
      <c r="O156" t="s">
        <v>103</v>
      </c>
      <c r="P156" t="s">
        <v>123</v>
      </c>
      <c r="Q156" t="s">
        <v>43</v>
      </c>
      <c r="R156" t="s">
        <v>124</v>
      </c>
      <c r="S156" t="s">
        <v>43</v>
      </c>
      <c r="T156">
        <v>37770.270270270274</v>
      </c>
      <c r="U156">
        <v>37770.270270270274</v>
      </c>
      <c r="V156">
        <v>37770.270270270274</v>
      </c>
      <c r="W156">
        <v>37770.270270270274</v>
      </c>
      <c r="X156">
        <f ca="1">IF(ISNUMBER(properties[[#This Row],[archivedDate]]),properties[[#This Row],[archivedDate]]-properties[[#This Row],[addedDate]],TODAY()-properties[[#This Row],[addedDate]])</f>
        <v>56</v>
      </c>
      <c r="Y156">
        <f ca="1">IF(ISNUMBER(properties[[#This Row],[archivedDate]]),properties[[#This Row],[archivedDate]]-properties[[#This Row],[addedDate]],TODAY()-properties[[#This Row],[addedDate]])</f>
        <v>56</v>
      </c>
    </row>
    <row r="157" spans="1:25" x14ac:dyDescent="0.25">
      <c r="A157" s="1">
        <v>45786</v>
      </c>
      <c r="B157" t="s">
        <v>608</v>
      </c>
      <c r="C157" t="s">
        <v>372</v>
      </c>
      <c r="D157" s="1"/>
      <c r="E157" t="s">
        <v>100</v>
      </c>
      <c r="F157">
        <v>2</v>
      </c>
      <c r="G157" t="s">
        <v>609</v>
      </c>
      <c r="H157" t="s">
        <v>610</v>
      </c>
      <c r="I157">
        <v>94</v>
      </c>
      <c r="J157">
        <v>1637</v>
      </c>
      <c r="K157">
        <v>0</v>
      </c>
      <c r="L157" t="s">
        <v>28</v>
      </c>
      <c r="M157">
        <v>390000</v>
      </c>
      <c r="N157">
        <v>0</v>
      </c>
      <c r="O157" t="s">
        <v>29</v>
      </c>
      <c r="P157" t="s">
        <v>30</v>
      </c>
      <c r="Q157" t="s">
        <v>43</v>
      </c>
      <c r="R157" t="s">
        <v>372</v>
      </c>
      <c r="S157" t="s">
        <v>43</v>
      </c>
      <c r="V157">
        <v>4148.9361702127662</v>
      </c>
      <c r="W157">
        <v>238.24068417837506</v>
      </c>
      <c r="X157">
        <f ca="1">IF(ISNUMBER(properties[[#This Row],[archivedDate]]),properties[[#This Row],[archivedDate]]-properties[[#This Row],[addedDate]],TODAY()-properties[[#This Row],[addedDate]])</f>
        <v>333</v>
      </c>
      <c r="Y157">
        <f ca="1">IF(ISNUMBER(properties[[#This Row],[archivedDate]]),properties[[#This Row],[archivedDate]]-properties[[#This Row],[addedDate]],TODAY()-properties[[#This Row],[addedDate]])</f>
        <v>333</v>
      </c>
    </row>
    <row r="158" spans="1:25" x14ac:dyDescent="0.25">
      <c r="A158" s="1">
        <v>45790</v>
      </c>
      <c r="B158" t="s">
        <v>611</v>
      </c>
      <c r="C158" t="s">
        <v>120</v>
      </c>
      <c r="D158" s="1">
        <v>45845</v>
      </c>
      <c r="E158" t="s">
        <v>46</v>
      </c>
      <c r="F158">
        <v>0</v>
      </c>
      <c r="G158" t="s">
        <v>612</v>
      </c>
      <c r="H158" t="s">
        <v>613</v>
      </c>
      <c r="I158">
        <v>68</v>
      </c>
      <c r="J158">
        <v>68</v>
      </c>
      <c r="K158">
        <v>0</v>
      </c>
      <c r="L158" t="s">
        <v>28</v>
      </c>
      <c r="M158">
        <v>2295000</v>
      </c>
      <c r="N158">
        <v>0</v>
      </c>
      <c r="O158" t="s">
        <v>103</v>
      </c>
      <c r="P158" t="s">
        <v>123</v>
      </c>
      <c r="Q158" t="s">
        <v>43</v>
      </c>
      <c r="R158" t="s">
        <v>124</v>
      </c>
      <c r="S158" t="s">
        <v>43</v>
      </c>
      <c r="V158">
        <v>33750</v>
      </c>
      <c r="W158">
        <v>33750</v>
      </c>
      <c r="X158">
        <f ca="1">IF(ISNUMBER(properties[[#This Row],[archivedDate]]),properties[[#This Row],[archivedDate]]-properties[[#This Row],[addedDate]],TODAY()-properties[[#This Row],[addedDate]])</f>
        <v>55</v>
      </c>
      <c r="Y158">
        <f ca="1">IF(ISNUMBER(properties[[#This Row],[archivedDate]]),properties[[#This Row],[archivedDate]]-properties[[#This Row],[addedDate]],TODAY()-properties[[#This Row],[addedDate]])</f>
        <v>55</v>
      </c>
    </row>
    <row r="159" spans="1:25" x14ac:dyDescent="0.25">
      <c r="A159" s="1">
        <v>45796</v>
      </c>
      <c r="B159" t="s">
        <v>614</v>
      </c>
      <c r="C159" t="s">
        <v>120</v>
      </c>
      <c r="D159" s="1">
        <v>45877</v>
      </c>
      <c r="E159" t="s">
        <v>34</v>
      </c>
      <c r="F159">
        <v>0</v>
      </c>
      <c r="G159" t="s">
        <v>615</v>
      </c>
      <c r="H159" t="s">
        <v>616</v>
      </c>
      <c r="I159">
        <v>249</v>
      </c>
      <c r="J159">
        <v>424</v>
      </c>
      <c r="K159">
        <v>5800000</v>
      </c>
      <c r="L159" t="s">
        <v>28</v>
      </c>
      <c r="M159">
        <v>4800000</v>
      </c>
      <c r="N159">
        <v>0</v>
      </c>
      <c r="O159" t="s">
        <v>103</v>
      </c>
      <c r="P159" t="s">
        <v>30</v>
      </c>
      <c r="Q159" t="s">
        <v>43</v>
      </c>
      <c r="R159" t="s">
        <v>124</v>
      </c>
      <c r="S159" t="s">
        <v>617</v>
      </c>
      <c r="T159">
        <v>23293.172690763051</v>
      </c>
      <c r="U159">
        <v>13679.245283018869</v>
      </c>
      <c r="V159">
        <v>19277.108433734938</v>
      </c>
      <c r="W159">
        <v>11320.754716981131</v>
      </c>
      <c r="X159">
        <f ca="1">IF(ISNUMBER(properties[[#This Row],[archivedDate]]),properties[[#This Row],[archivedDate]]-properties[[#This Row],[addedDate]],TODAY()-properties[[#This Row],[addedDate]])</f>
        <v>81</v>
      </c>
      <c r="Y159">
        <f ca="1">IF(ISNUMBER(properties[[#This Row],[archivedDate]]),properties[[#This Row],[archivedDate]]-properties[[#This Row],[addedDate]],TODAY()-properties[[#This Row],[addedDate]])</f>
        <v>81</v>
      </c>
    </row>
    <row r="160" spans="1:25" x14ac:dyDescent="0.25">
      <c r="A160" s="1">
        <v>45796</v>
      </c>
      <c r="B160" t="s">
        <v>618</v>
      </c>
      <c r="C160" t="s">
        <v>120</v>
      </c>
      <c r="D160" s="1">
        <v>45848</v>
      </c>
      <c r="E160" t="s">
        <v>619</v>
      </c>
      <c r="F160">
        <v>0</v>
      </c>
      <c r="G160" t="s">
        <v>620</v>
      </c>
      <c r="H160" t="s">
        <v>621</v>
      </c>
      <c r="I160">
        <v>183</v>
      </c>
      <c r="J160">
        <v>954</v>
      </c>
      <c r="K160">
        <v>4350000</v>
      </c>
      <c r="L160" t="s">
        <v>28</v>
      </c>
      <c r="M160">
        <v>4350000</v>
      </c>
      <c r="N160">
        <v>0</v>
      </c>
      <c r="O160" t="s">
        <v>103</v>
      </c>
      <c r="P160" t="s">
        <v>30</v>
      </c>
      <c r="Q160" t="s">
        <v>43</v>
      </c>
      <c r="R160" t="s">
        <v>124</v>
      </c>
      <c r="S160" t="s">
        <v>622</v>
      </c>
      <c r="T160">
        <v>23770.491803278688</v>
      </c>
      <c r="U160">
        <v>4559.7484276729556</v>
      </c>
      <c r="V160">
        <v>23770.491803278688</v>
      </c>
      <c r="W160">
        <v>4559.7484276729556</v>
      </c>
      <c r="X160">
        <f ca="1">IF(ISNUMBER(properties[[#This Row],[archivedDate]]),properties[[#This Row],[archivedDate]]-properties[[#This Row],[addedDate]],TODAY()-properties[[#This Row],[addedDate]])</f>
        <v>52</v>
      </c>
      <c r="Y160">
        <f ca="1">IF(ISNUMBER(properties[[#This Row],[archivedDate]]),properties[[#This Row],[archivedDate]]-properties[[#This Row],[addedDate]],TODAY()-properties[[#This Row],[addedDate]])</f>
        <v>52</v>
      </c>
    </row>
    <row r="161" spans="1:25" x14ac:dyDescent="0.25">
      <c r="A161" s="1">
        <v>45797</v>
      </c>
      <c r="B161" t="s">
        <v>623</v>
      </c>
      <c r="C161" t="s">
        <v>120</v>
      </c>
      <c r="D161" s="1">
        <v>45889</v>
      </c>
      <c r="E161" t="s">
        <v>34</v>
      </c>
      <c r="F161">
        <v>0</v>
      </c>
      <c r="G161" t="s">
        <v>624</v>
      </c>
      <c r="H161" t="s">
        <v>625</v>
      </c>
      <c r="I161">
        <v>287</v>
      </c>
      <c r="J161">
        <v>500</v>
      </c>
      <c r="K161">
        <v>0</v>
      </c>
      <c r="L161" t="s">
        <v>28</v>
      </c>
      <c r="M161">
        <v>6250000</v>
      </c>
      <c r="N161">
        <v>0</v>
      </c>
      <c r="O161" t="s">
        <v>103</v>
      </c>
      <c r="P161" t="s">
        <v>30</v>
      </c>
      <c r="Q161" t="s">
        <v>43</v>
      </c>
      <c r="R161" t="s">
        <v>124</v>
      </c>
      <c r="S161" t="s">
        <v>626</v>
      </c>
      <c r="V161">
        <v>21777.003484320558</v>
      </c>
      <c r="W161">
        <v>12500</v>
      </c>
      <c r="X161">
        <f ca="1">IF(ISNUMBER(properties[[#This Row],[archivedDate]]),properties[[#This Row],[archivedDate]]-properties[[#This Row],[addedDate]],TODAY()-properties[[#This Row],[addedDate]])</f>
        <v>92</v>
      </c>
      <c r="Y161">
        <f ca="1">IF(ISNUMBER(properties[[#This Row],[archivedDate]]),properties[[#This Row],[archivedDate]]-properties[[#This Row],[addedDate]],TODAY()-properties[[#This Row],[addedDate]])</f>
        <v>92</v>
      </c>
    </row>
    <row r="162" spans="1:25" x14ac:dyDescent="0.25">
      <c r="A162" s="1">
        <v>45798</v>
      </c>
      <c r="B162" t="s">
        <v>627</v>
      </c>
      <c r="C162" t="s">
        <v>120</v>
      </c>
      <c r="D162" s="1">
        <v>45889</v>
      </c>
      <c r="E162" t="s">
        <v>316</v>
      </c>
      <c r="F162">
        <v>0</v>
      </c>
      <c r="G162" t="s">
        <v>628</v>
      </c>
      <c r="H162" t="s">
        <v>629</v>
      </c>
      <c r="I162">
        <v>400</v>
      </c>
      <c r="J162">
        <v>550</v>
      </c>
      <c r="K162">
        <v>5700000</v>
      </c>
      <c r="L162" t="s">
        <v>28</v>
      </c>
      <c r="M162">
        <v>5500000</v>
      </c>
      <c r="N162">
        <v>0</v>
      </c>
      <c r="O162" t="s">
        <v>103</v>
      </c>
      <c r="P162" t="s">
        <v>123</v>
      </c>
      <c r="Q162" t="s">
        <v>43</v>
      </c>
      <c r="R162" t="s">
        <v>124</v>
      </c>
      <c r="S162" t="s">
        <v>43</v>
      </c>
      <c r="T162">
        <v>14250</v>
      </c>
      <c r="U162">
        <v>10363.636363636364</v>
      </c>
      <c r="V162">
        <v>13750</v>
      </c>
      <c r="W162">
        <v>10000</v>
      </c>
      <c r="X162">
        <f ca="1">IF(ISNUMBER(properties[[#This Row],[archivedDate]]),properties[[#This Row],[archivedDate]]-properties[[#This Row],[addedDate]],TODAY()-properties[[#This Row],[addedDate]])</f>
        <v>91</v>
      </c>
      <c r="Y162">
        <f ca="1">IF(ISNUMBER(properties[[#This Row],[archivedDate]]),properties[[#This Row],[archivedDate]]-properties[[#This Row],[addedDate]],TODAY()-properties[[#This Row],[addedDate]])</f>
        <v>91</v>
      </c>
    </row>
    <row r="163" spans="1:25" x14ac:dyDescent="0.25">
      <c r="A163" s="1">
        <v>45800</v>
      </c>
      <c r="B163" t="s">
        <v>630</v>
      </c>
      <c r="C163" t="s">
        <v>372</v>
      </c>
      <c r="D163" s="1">
        <v>45831</v>
      </c>
      <c r="E163" t="s">
        <v>34</v>
      </c>
      <c r="F163">
        <v>2</v>
      </c>
      <c r="G163" t="s">
        <v>631</v>
      </c>
      <c r="H163" t="s">
        <v>632</v>
      </c>
      <c r="I163">
        <v>215</v>
      </c>
      <c r="J163">
        <v>600</v>
      </c>
      <c r="K163">
        <v>5700000</v>
      </c>
      <c r="L163" t="s">
        <v>28</v>
      </c>
      <c r="M163">
        <v>5795000</v>
      </c>
      <c r="N163">
        <v>0</v>
      </c>
      <c r="O163" t="s">
        <v>103</v>
      </c>
      <c r="P163" t="s">
        <v>30</v>
      </c>
      <c r="Q163" t="s">
        <v>43</v>
      </c>
      <c r="R163" t="s">
        <v>372</v>
      </c>
      <c r="S163" t="s">
        <v>43</v>
      </c>
      <c r="T163">
        <v>26511.627906976744</v>
      </c>
      <c r="U163">
        <v>9500</v>
      </c>
      <c r="V163">
        <v>26953.488372093023</v>
      </c>
      <c r="W163">
        <v>9658.3333333333339</v>
      </c>
      <c r="X163">
        <f ca="1">IF(ISNUMBER(properties[[#This Row],[archivedDate]]),properties[[#This Row],[archivedDate]]-properties[[#This Row],[addedDate]],TODAY()-properties[[#This Row],[addedDate]])</f>
        <v>31</v>
      </c>
      <c r="Y163">
        <f ca="1">IF(ISNUMBER(properties[[#This Row],[archivedDate]]),properties[[#This Row],[archivedDate]]-properties[[#This Row],[addedDate]],TODAY()-properties[[#This Row],[addedDate]])</f>
        <v>31</v>
      </c>
    </row>
    <row r="164" spans="1:25" x14ac:dyDescent="0.25">
      <c r="A164" s="1">
        <v>45803</v>
      </c>
      <c r="B164" t="s">
        <v>633</v>
      </c>
      <c r="C164" t="s">
        <v>120</v>
      </c>
      <c r="D164" s="1">
        <v>45877</v>
      </c>
      <c r="E164" t="s">
        <v>488</v>
      </c>
      <c r="F164">
        <v>0</v>
      </c>
      <c r="G164" t="s">
        <v>634</v>
      </c>
      <c r="H164" t="s">
        <v>635</v>
      </c>
      <c r="I164">
        <v>116</v>
      </c>
      <c r="J164">
        <v>432</v>
      </c>
      <c r="K164">
        <v>1625000</v>
      </c>
      <c r="L164" t="s">
        <v>28</v>
      </c>
      <c r="M164">
        <v>1500000</v>
      </c>
      <c r="N164">
        <v>0</v>
      </c>
      <c r="O164" t="s">
        <v>103</v>
      </c>
      <c r="P164" t="s">
        <v>30</v>
      </c>
      <c r="Q164" t="s">
        <v>43</v>
      </c>
      <c r="R164" t="s">
        <v>124</v>
      </c>
      <c r="S164" t="s">
        <v>636</v>
      </c>
      <c r="T164">
        <v>14008.620689655172</v>
      </c>
      <c r="U164">
        <v>3761.5740740740739</v>
      </c>
      <c r="V164">
        <v>12931.034482758621</v>
      </c>
      <c r="W164">
        <v>3472.2222222222222</v>
      </c>
      <c r="X164">
        <f ca="1">IF(ISNUMBER(properties[[#This Row],[archivedDate]]),properties[[#This Row],[archivedDate]]-properties[[#This Row],[addedDate]],TODAY()-properties[[#This Row],[addedDate]])</f>
        <v>74</v>
      </c>
      <c r="Y164">
        <f ca="1">IF(ISNUMBER(properties[[#This Row],[archivedDate]]),properties[[#This Row],[archivedDate]]-properties[[#This Row],[addedDate]],TODAY()-properties[[#This Row],[addedDate]])</f>
        <v>74</v>
      </c>
    </row>
    <row r="165" spans="1:25" x14ac:dyDescent="0.25">
      <c r="A165" s="1">
        <v>45803</v>
      </c>
      <c r="B165" t="s">
        <v>637</v>
      </c>
      <c r="C165" t="s">
        <v>372</v>
      </c>
      <c r="D165" s="1">
        <v>45842</v>
      </c>
      <c r="E165" t="s">
        <v>63</v>
      </c>
      <c r="F165">
        <v>2</v>
      </c>
      <c r="G165" t="s">
        <v>638</v>
      </c>
      <c r="H165" t="s">
        <v>639</v>
      </c>
      <c r="I165">
        <v>130</v>
      </c>
      <c r="J165">
        <v>625</v>
      </c>
      <c r="K165">
        <v>800000</v>
      </c>
      <c r="L165" t="s">
        <v>28</v>
      </c>
      <c r="M165">
        <v>580000</v>
      </c>
      <c r="N165">
        <v>0</v>
      </c>
      <c r="O165" t="s">
        <v>103</v>
      </c>
      <c r="P165" t="s">
        <v>194</v>
      </c>
      <c r="Q165" t="s">
        <v>43</v>
      </c>
      <c r="R165" t="s">
        <v>372</v>
      </c>
      <c r="S165" t="s">
        <v>43</v>
      </c>
      <c r="T165">
        <v>6153.8461538461543</v>
      </c>
      <c r="U165">
        <v>1280</v>
      </c>
      <c r="V165">
        <v>4461.5384615384619</v>
      </c>
      <c r="W165">
        <v>928</v>
      </c>
      <c r="X165">
        <f ca="1">IF(ISNUMBER(properties[[#This Row],[archivedDate]]),properties[[#This Row],[archivedDate]]-properties[[#This Row],[addedDate]],TODAY()-properties[[#This Row],[addedDate]])</f>
        <v>39</v>
      </c>
      <c r="Y165">
        <f ca="1">IF(ISNUMBER(properties[[#This Row],[archivedDate]]),properties[[#This Row],[archivedDate]]-properties[[#This Row],[addedDate]],TODAY()-properties[[#This Row],[addedDate]])</f>
        <v>39</v>
      </c>
    </row>
    <row r="166" spans="1:25" x14ac:dyDescent="0.25">
      <c r="A166" s="1">
        <v>45805</v>
      </c>
      <c r="B166" t="s">
        <v>640</v>
      </c>
      <c r="C166" t="s">
        <v>120</v>
      </c>
      <c r="D166" s="1">
        <v>45902</v>
      </c>
      <c r="E166" t="s">
        <v>215</v>
      </c>
      <c r="F166">
        <v>0</v>
      </c>
      <c r="G166" t="s">
        <v>641</v>
      </c>
      <c r="H166" t="s">
        <v>642</v>
      </c>
      <c r="I166">
        <v>96</v>
      </c>
      <c r="J166">
        <v>96</v>
      </c>
      <c r="K166">
        <v>2400000</v>
      </c>
      <c r="L166" t="s">
        <v>28</v>
      </c>
      <c r="M166">
        <v>2700000</v>
      </c>
      <c r="N166">
        <v>0</v>
      </c>
      <c r="O166" t="s">
        <v>103</v>
      </c>
      <c r="P166" t="s">
        <v>123</v>
      </c>
      <c r="Q166" t="s">
        <v>43</v>
      </c>
      <c r="R166" t="s">
        <v>124</v>
      </c>
      <c r="S166" t="s">
        <v>43</v>
      </c>
      <c r="T166">
        <v>25000</v>
      </c>
      <c r="U166">
        <v>25000</v>
      </c>
      <c r="V166">
        <v>28125</v>
      </c>
      <c r="W166">
        <v>28125</v>
      </c>
      <c r="X166">
        <f ca="1">IF(ISNUMBER(properties[[#This Row],[archivedDate]]),properties[[#This Row],[archivedDate]]-properties[[#This Row],[addedDate]],TODAY()-properties[[#This Row],[addedDate]])</f>
        <v>97</v>
      </c>
      <c r="Y166">
        <f ca="1">IF(ISNUMBER(properties[[#This Row],[archivedDate]]),properties[[#This Row],[archivedDate]]-properties[[#This Row],[addedDate]],TODAY()-properties[[#This Row],[addedDate]])</f>
        <v>97</v>
      </c>
    </row>
    <row r="167" spans="1:25" x14ac:dyDescent="0.25">
      <c r="A167" s="1">
        <v>45805</v>
      </c>
      <c r="B167" t="s">
        <v>643</v>
      </c>
      <c r="C167" t="s">
        <v>372</v>
      </c>
      <c r="D167" s="1"/>
      <c r="E167" t="s">
        <v>25</v>
      </c>
      <c r="F167">
        <v>3</v>
      </c>
      <c r="G167" t="s">
        <v>644</v>
      </c>
      <c r="H167" t="s">
        <v>645</v>
      </c>
      <c r="I167">
        <v>157</v>
      </c>
      <c r="J167">
        <v>408</v>
      </c>
      <c r="K167">
        <v>0</v>
      </c>
      <c r="L167" t="s">
        <v>28</v>
      </c>
      <c r="M167">
        <v>2495000</v>
      </c>
      <c r="N167">
        <v>0</v>
      </c>
      <c r="O167" t="s">
        <v>29</v>
      </c>
      <c r="P167" t="s">
        <v>30</v>
      </c>
      <c r="Q167" t="s">
        <v>43</v>
      </c>
      <c r="R167" t="s">
        <v>372</v>
      </c>
      <c r="S167" t="s">
        <v>43</v>
      </c>
      <c r="V167">
        <v>15891.71974522293</v>
      </c>
      <c r="W167">
        <v>6115.1960784313724</v>
      </c>
      <c r="X167">
        <f ca="1">IF(ISNUMBER(properties[[#This Row],[archivedDate]]),properties[[#This Row],[archivedDate]]-properties[[#This Row],[addedDate]],TODAY()-properties[[#This Row],[addedDate]])</f>
        <v>314</v>
      </c>
      <c r="Y167">
        <f ca="1">IF(ISNUMBER(properties[[#This Row],[archivedDate]]),properties[[#This Row],[archivedDate]]-properties[[#This Row],[addedDate]],TODAY()-properties[[#This Row],[addedDate]])</f>
        <v>314</v>
      </c>
    </row>
    <row r="168" spans="1:25" x14ac:dyDescent="0.25">
      <c r="A168" s="1">
        <v>45806</v>
      </c>
      <c r="B168" t="s">
        <v>646</v>
      </c>
      <c r="C168" t="s">
        <v>120</v>
      </c>
      <c r="D168" s="1">
        <v>45852</v>
      </c>
      <c r="E168" t="s">
        <v>34</v>
      </c>
      <c r="F168">
        <v>0</v>
      </c>
      <c r="G168" t="s">
        <v>647</v>
      </c>
      <c r="H168" t="s">
        <v>648</v>
      </c>
      <c r="I168">
        <v>68</v>
      </c>
      <c r="J168">
        <v>529</v>
      </c>
      <c r="K168">
        <v>1950000</v>
      </c>
      <c r="L168" t="s">
        <v>28</v>
      </c>
      <c r="M168">
        <v>1750000</v>
      </c>
      <c r="N168">
        <v>0</v>
      </c>
      <c r="O168" t="s">
        <v>103</v>
      </c>
      <c r="P168" t="s">
        <v>123</v>
      </c>
      <c r="Q168" t="s">
        <v>43</v>
      </c>
      <c r="R168" t="s">
        <v>124</v>
      </c>
      <c r="S168" t="s">
        <v>649</v>
      </c>
      <c r="T168">
        <v>28676.470588235294</v>
      </c>
      <c r="U168">
        <v>3686.2003780718337</v>
      </c>
      <c r="V168">
        <v>25735.294117647059</v>
      </c>
      <c r="W168">
        <v>3308.1285444234404</v>
      </c>
      <c r="X168">
        <f ca="1">IF(ISNUMBER(properties[[#This Row],[archivedDate]]),properties[[#This Row],[archivedDate]]-properties[[#This Row],[addedDate]],TODAY()-properties[[#This Row],[addedDate]])</f>
        <v>46</v>
      </c>
      <c r="Y168">
        <f ca="1">IF(ISNUMBER(properties[[#This Row],[archivedDate]]),properties[[#This Row],[archivedDate]]-properties[[#This Row],[addedDate]],TODAY()-properties[[#This Row],[addedDate]])</f>
        <v>46</v>
      </c>
    </row>
    <row r="169" spans="1:25" x14ac:dyDescent="0.25">
      <c r="A169" s="1">
        <v>45806</v>
      </c>
      <c r="B169" t="s">
        <v>650</v>
      </c>
      <c r="C169" t="s">
        <v>120</v>
      </c>
      <c r="D169" s="1"/>
      <c r="E169" t="s">
        <v>34</v>
      </c>
      <c r="F169">
        <v>0</v>
      </c>
      <c r="G169" t="s">
        <v>651</v>
      </c>
      <c r="H169" t="s">
        <v>652</v>
      </c>
      <c r="I169">
        <v>374</v>
      </c>
      <c r="J169">
        <v>197</v>
      </c>
      <c r="K169">
        <v>0</v>
      </c>
      <c r="L169" t="s">
        <v>28</v>
      </c>
      <c r="M169">
        <v>11000000</v>
      </c>
      <c r="N169">
        <v>0</v>
      </c>
      <c r="O169" t="s">
        <v>29</v>
      </c>
      <c r="P169" t="s">
        <v>185</v>
      </c>
      <c r="Q169" t="s">
        <v>43</v>
      </c>
      <c r="R169" t="s">
        <v>124</v>
      </c>
      <c r="S169" t="s">
        <v>43</v>
      </c>
      <c r="V169">
        <v>29411.764705882353</v>
      </c>
      <c r="W169">
        <v>55837.563451776652</v>
      </c>
      <c r="X169">
        <f ca="1">IF(ISNUMBER(properties[[#This Row],[archivedDate]]),properties[[#This Row],[archivedDate]]-properties[[#This Row],[addedDate]],TODAY()-properties[[#This Row],[addedDate]])</f>
        <v>313</v>
      </c>
      <c r="Y169">
        <f ca="1">IF(ISNUMBER(properties[[#This Row],[archivedDate]]),properties[[#This Row],[archivedDate]]-properties[[#This Row],[addedDate]],TODAY()-properties[[#This Row],[addedDate]])</f>
        <v>313</v>
      </c>
    </row>
    <row r="170" spans="1:25" x14ac:dyDescent="0.25">
      <c r="A170" s="1">
        <v>45806</v>
      </c>
      <c r="B170" t="s">
        <v>653</v>
      </c>
      <c r="C170" t="s">
        <v>120</v>
      </c>
      <c r="D170" s="1"/>
      <c r="E170" t="s">
        <v>200</v>
      </c>
      <c r="F170">
        <v>0</v>
      </c>
      <c r="G170" t="s">
        <v>654</v>
      </c>
      <c r="H170" t="s">
        <v>655</v>
      </c>
      <c r="I170">
        <v>147</v>
      </c>
      <c r="J170">
        <v>111</v>
      </c>
      <c r="K170">
        <v>450000</v>
      </c>
      <c r="L170" t="s">
        <v>28</v>
      </c>
      <c r="M170">
        <v>600000</v>
      </c>
      <c r="N170">
        <v>0</v>
      </c>
      <c r="O170" t="s">
        <v>29</v>
      </c>
      <c r="P170" t="s">
        <v>55</v>
      </c>
      <c r="Q170" t="s">
        <v>43</v>
      </c>
      <c r="R170" t="s">
        <v>124</v>
      </c>
      <c r="S170" t="s">
        <v>43</v>
      </c>
      <c r="T170">
        <v>3061.2244897959185</v>
      </c>
      <c r="U170">
        <v>4054.0540540540542</v>
      </c>
      <c r="V170">
        <v>4081.6326530612246</v>
      </c>
      <c r="W170">
        <v>5405.405405405405</v>
      </c>
      <c r="X170">
        <f ca="1">IF(ISNUMBER(properties[[#This Row],[archivedDate]]),properties[[#This Row],[archivedDate]]-properties[[#This Row],[addedDate]],TODAY()-properties[[#This Row],[addedDate]])</f>
        <v>313</v>
      </c>
      <c r="Y170">
        <f ca="1">IF(ISNUMBER(properties[[#This Row],[archivedDate]]),properties[[#This Row],[archivedDate]]-properties[[#This Row],[addedDate]],TODAY()-properties[[#This Row],[addedDate]])</f>
        <v>313</v>
      </c>
    </row>
    <row r="171" spans="1:25" x14ac:dyDescent="0.25">
      <c r="A171" s="1">
        <v>45807</v>
      </c>
      <c r="B171" t="s">
        <v>656</v>
      </c>
      <c r="C171" t="s">
        <v>120</v>
      </c>
      <c r="D171" s="1">
        <v>45877</v>
      </c>
      <c r="E171" t="s">
        <v>176</v>
      </c>
      <c r="F171">
        <v>0</v>
      </c>
      <c r="G171" t="s">
        <v>657</v>
      </c>
      <c r="H171" t="s">
        <v>658</v>
      </c>
      <c r="I171">
        <v>84</v>
      </c>
      <c r="J171">
        <v>84</v>
      </c>
      <c r="K171">
        <v>2200000</v>
      </c>
      <c r="L171" t="s">
        <v>28</v>
      </c>
      <c r="M171">
        <v>2095000</v>
      </c>
      <c r="N171">
        <v>0</v>
      </c>
      <c r="O171" t="s">
        <v>103</v>
      </c>
      <c r="P171" t="s">
        <v>123</v>
      </c>
      <c r="Q171" t="s">
        <v>43</v>
      </c>
      <c r="R171" t="s">
        <v>124</v>
      </c>
      <c r="S171" t="s">
        <v>43</v>
      </c>
      <c r="T171">
        <v>26190.476190476191</v>
      </c>
      <c r="U171">
        <v>26190.476190476191</v>
      </c>
      <c r="V171">
        <v>24940.476190476191</v>
      </c>
      <c r="W171">
        <v>24940.476190476191</v>
      </c>
      <c r="X171">
        <f ca="1">IF(ISNUMBER(properties[[#This Row],[archivedDate]]),properties[[#This Row],[archivedDate]]-properties[[#This Row],[addedDate]],TODAY()-properties[[#This Row],[addedDate]])</f>
        <v>70</v>
      </c>
      <c r="Y171">
        <f ca="1">IF(ISNUMBER(properties[[#This Row],[archivedDate]]),properties[[#This Row],[archivedDate]]-properties[[#This Row],[addedDate]],TODAY()-properties[[#This Row],[addedDate]])</f>
        <v>70</v>
      </c>
    </row>
    <row r="172" spans="1:25" x14ac:dyDescent="0.25">
      <c r="A172" s="1">
        <v>45810</v>
      </c>
      <c r="B172" t="s">
        <v>659</v>
      </c>
      <c r="C172" t="s">
        <v>372</v>
      </c>
      <c r="D172" s="1">
        <v>45842</v>
      </c>
      <c r="E172" t="s">
        <v>160</v>
      </c>
      <c r="F172">
        <v>2</v>
      </c>
      <c r="G172" t="s">
        <v>660</v>
      </c>
      <c r="H172" t="s">
        <v>661</v>
      </c>
      <c r="I172">
        <v>365</v>
      </c>
      <c r="J172">
        <v>814</v>
      </c>
      <c r="K172">
        <v>4200000</v>
      </c>
      <c r="L172" t="s">
        <v>28</v>
      </c>
      <c r="M172">
        <v>4195000</v>
      </c>
      <c r="N172">
        <v>0</v>
      </c>
      <c r="O172" t="s">
        <v>103</v>
      </c>
      <c r="P172" t="s">
        <v>30</v>
      </c>
      <c r="Q172" t="s">
        <v>43</v>
      </c>
      <c r="R172" t="s">
        <v>372</v>
      </c>
      <c r="S172" t="s">
        <v>43</v>
      </c>
      <c r="T172">
        <v>11506.849315068494</v>
      </c>
      <c r="U172">
        <v>5159.7051597051595</v>
      </c>
      <c r="V172">
        <v>11493.150684931506</v>
      </c>
      <c r="W172">
        <v>5153.5626535626534</v>
      </c>
      <c r="X172">
        <f ca="1">IF(ISNUMBER(properties[[#This Row],[archivedDate]]),properties[[#This Row],[archivedDate]]-properties[[#This Row],[addedDate]],TODAY()-properties[[#This Row],[addedDate]])</f>
        <v>32</v>
      </c>
      <c r="Y172">
        <f ca="1">IF(ISNUMBER(properties[[#This Row],[archivedDate]]),properties[[#This Row],[archivedDate]]-properties[[#This Row],[addedDate]],TODAY()-properties[[#This Row],[addedDate]])</f>
        <v>32</v>
      </c>
    </row>
    <row r="173" spans="1:25" x14ac:dyDescent="0.25">
      <c r="A173" s="1">
        <v>45817</v>
      </c>
      <c r="B173" t="s">
        <v>662</v>
      </c>
      <c r="C173" t="s">
        <v>120</v>
      </c>
      <c r="D173" s="1">
        <v>45946</v>
      </c>
      <c r="E173" t="s">
        <v>77</v>
      </c>
      <c r="F173">
        <v>0</v>
      </c>
      <c r="G173" t="s">
        <v>663</v>
      </c>
      <c r="H173" t="s">
        <v>664</v>
      </c>
      <c r="I173">
        <v>238</v>
      </c>
      <c r="J173">
        <v>737</v>
      </c>
      <c r="K173">
        <v>1800000</v>
      </c>
      <c r="L173" t="s">
        <v>28</v>
      </c>
      <c r="M173">
        <v>2695000</v>
      </c>
      <c r="N173">
        <v>0</v>
      </c>
      <c r="O173" t="s">
        <v>103</v>
      </c>
      <c r="P173" t="s">
        <v>30</v>
      </c>
      <c r="Q173" t="s">
        <v>43</v>
      </c>
      <c r="R173" t="s">
        <v>124</v>
      </c>
      <c r="S173" t="s">
        <v>43</v>
      </c>
      <c r="T173">
        <v>7563.0252100840335</v>
      </c>
      <c r="U173">
        <v>2442.3337856173675</v>
      </c>
      <c r="V173">
        <v>11323.529411764706</v>
      </c>
      <c r="W173">
        <v>3656.7164179104479</v>
      </c>
      <c r="X173">
        <f ca="1">IF(ISNUMBER(properties[[#This Row],[archivedDate]]),properties[[#This Row],[archivedDate]]-properties[[#This Row],[addedDate]],TODAY()-properties[[#This Row],[addedDate]])</f>
        <v>129</v>
      </c>
      <c r="Y173">
        <f ca="1">IF(ISNUMBER(properties[[#This Row],[archivedDate]]),properties[[#This Row],[archivedDate]]-properties[[#This Row],[addedDate]],TODAY()-properties[[#This Row],[addedDate]])</f>
        <v>129</v>
      </c>
    </row>
    <row r="174" spans="1:25" x14ac:dyDescent="0.25">
      <c r="A174" s="1">
        <v>45817</v>
      </c>
      <c r="B174" t="s">
        <v>665</v>
      </c>
      <c r="C174" t="s">
        <v>120</v>
      </c>
      <c r="D174" s="1">
        <v>45877</v>
      </c>
      <c r="E174" t="s">
        <v>215</v>
      </c>
      <c r="F174">
        <v>0</v>
      </c>
      <c r="G174" t="s">
        <v>666</v>
      </c>
      <c r="H174" t="s">
        <v>667</v>
      </c>
      <c r="I174">
        <v>77</v>
      </c>
      <c r="J174">
        <v>77</v>
      </c>
      <c r="K174">
        <v>0</v>
      </c>
      <c r="L174" t="s">
        <v>28</v>
      </c>
      <c r="M174">
        <v>3200000</v>
      </c>
      <c r="N174">
        <v>0</v>
      </c>
      <c r="O174" t="s">
        <v>103</v>
      </c>
      <c r="P174" t="s">
        <v>123</v>
      </c>
      <c r="Q174" t="s">
        <v>43</v>
      </c>
      <c r="R174" t="s">
        <v>124</v>
      </c>
      <c r="S174" t="s">
        <v>43</v>
      </c>
      <c r="V174">
        <v>41558.441558441562</v>
      </c>
      <c r="W174">
        <v>41558.441558441562</v>
      </c>
      <c r="X174">
        <f ca="1">IF(ISNUMBER(properties[[#This Row],[archivedDate]]),properties[[#This Row],[archivedDate]]-properties[[#This Row],[addedDate]],TODAY()-properties[[#This Row],[addedDate]])</f>
        <v>60</v>
      </c>
      <c r="Y174">
        <f ca="1">IF(ISNUMBER(properties[[#This Row],[archivedDate]]),properties[[#This Row],[archivedDate]]-properties[[#This Row],[addedDate]],TODAY()-properties[[#This Row],[addedDate]])</f>
        <v>60</v>
      </c>
    </row>
    <row r="175" spans="1:25" x14ac:dyDescent="0.25">
      <c r="A175" s="1">
        <v>45818</v>
      </c>
      <c r="B175" t="s">
        <v>668</v>
      </c>
      <c r="C175" t="s">
        <v>120</v>
      </c>
      <c r="D175" s="1">
        <v>45902</v>
      </c>
      <c r="E175" t="s">
        <v>34</v>
      </c>
      <c r="F175">
        <v>0</v>
      </c>
      <c r="G175" t="s">
        <v>669</v>
      </c>
      <c r="H175" t="s">
        <v>670</v>
      </c>
      <c r="I175">
        <v>77</v>
      </c>
      <c r="J175">
        <v>77</v>
      </c>
      <c r="K175">
        <v>3250000</v>
      </c>
      <c r="L175" t="s">
        <v>28</v>
      </c>
      <c r="M175">
        <v>3195000</v>
      </c>
      <c r="N175">
        <v>0</v>
      </c>
      <c r="O175" t="s">
        <v>103</v>
      </c>
      <c r="P175" t="s">
        <v>123</v>
      </c>
      <c r="Q175" t="s">
        <v>43</v>
      </c>
      <c r="R175" t="s">
        <v>124</v>
      </c>
      <c r="S175" t="s">
        <v>43</v>
      </c>
      <c r="T175">
        <v>42207.792207792205</v>
      </c>
      <c r="U175">
        <v>42207.792207792205</v>
      </c>
      <c r="V175">
        <v>41493.506493506495</v>
      </c>
      <c r="W175">
        <v>41493.506493506495</v>
      </c>
      <c r="X175">
        <f ca="1">IF(ISNUMBER(properties[[#This Row],[archivedDate]]),properties[[#This Row],[archivedDate]]-properties[[#This Row],[addedDate]],TODAY()-properties[[#This Row],[addedDate]])</f>
        <v>84</v>
      </c>
      <c r="Y175">
        <f ca="1">IF(ISNUMBER(properties[[#This Row],[archivedDate]]),properties[[#This Row],[archivedDate]]-properties[[#This Row],[addedDate]],TODAY()-properties[[#This Row],[addedDate]])</f>
        <v>84</v>
      </c>
    </row>
    <row r="176" spans="1:25" x14ac:dyDescent="0.25">
      <c r="A176" s="1">
        <v>45818</v>
      </c>
      <c r="B176" t="s">
        <v>671</v>
      </c>
      <c r="C176" t="s">
        <v>372</v>
      </c>
      <c r="D176" s="1">
        <v>45849</v>
      </c>
      <c r="E176" t="s">
        <v>100</v>
      </c>
      <c r="F176">
        <v>3</v>
      </c>
      <c r="G176" t="s">
        <v>672</v>
      </c>
      <c r="H176" t="s">
        <v>673</v>
      </c>
      <c r="I176">
        <v>113</v>
      </c>
      <c r="J176">
        <v>657</v>
      </c>
      <c r="K176">
        <v>645000</v>
      </c>
      <c r="L176" t="s">
        <v>28</v>
      </c>
      <c r="M176">
        <v>495000</v>
      </c>
      <c r="N176">
        <v>0</v>
      </c>
      <c r="O176" t="s">
        <v>103</v>
      </c>
      <c r="P176" t="s">
        <v>30</v>
      </c>
      <c r="Q176" t="s">
        <v>43</v>
      </c>
      <c r="R176" t="s">
        <v>372</v>
      </c>
      <c r="S176" t="s">
        <v>43</v>
      </c>
      <c r="T176">
        <v>5707.9646017699115</v>
      </c>
      <c r="U176">
        <v>981.73515981735159</v>
      </c>
      <c r="V176">
        <v>4380.5309734513276</v>
      </c>
      <c r="W176">
        <v>753.42465753424653</v>
      </c>
      <c r="X176">
        <f ca="1">IF(ISNUMBER(properties[[#This Row],[archivedDate]]),properties[[#This Row],[archivedDate]]-properties[[#This Row],[addedDate]],TODAY()-properties[[#This Row],[addedDate]])</f>
        <v>31</v>
      </c>
      <c r="Y176">
        <f ca="1">IF(ISNUMBER(properties[[#This Row],[archivedDate]]),properties[[#This Row],[archivedDate]]-properties[[#This Row],[addedDate]],TODAY()-properties[[#This Row],[addedDate]])</f>
        <v>31</v>
      </c>
    </row>
    <row r="177" spans="1:25" x14ac:dyDescent="0.25">
      <c r="A177" s="1">
        <v>45819</v>
      </c>
      <c r="B177" t="s">
        <v>674</v>
      </c>
      <c r="C177" t="s">
        <v>372</v>
      </c>
      <c r="D177" s="1">
        <v>45861</v>
      </c>
      <c r="E177" t="s">
        <v>675</v>
      </c>
      <c r="F177">
        <v>3</v>
      </c>
      <c r="G177" t="s">
        <v>676</v>
      </c>
      <c r="H177" t="s">
        <v>677</v>
      </c>
      <c r="I177">
        <v>130</v>
      </c>
      <c r="J177">
        <v>156</v>
      </c>
      <c r="K177">
        <v>2550000</v>
      </c>
      <c r="L177" t="s">
        <v>28</v>
      </c>
      <c r="M177">
        <v>2295000</v>
      </c>
      <c r="N177">
        <v>0</v>
      </c>
      <c r="O177" t="s">
        <v>103</v>
      </c>
      <c r="P177" t="s">
        <v>30</v>
      </c>
      <c r="Q177" t="s">
        <v>43</v>
      </c>
      <c r="R177" t="s">
        <v>372</v>
      </c>
      <c r="S177" t="s">
        <v>43</v>
      </c>
      <c r="T177">
        <v>19615.384615384617</v>
      </c>
      <c r="U177">
        <v>16346.153846153846</v>
      </c>
      <c r="V177">
        <v>17653.846153846152</v>
      </c>
      <c r="W177">
        <v>14711.538461538461</v>
      </c>
      <c r="X177">
        <f ca="1">IF(ISNUMBER(properties[[#This Row],[archivedDate]]),properties[[#This Row],[archivedDate]]-properties[[#This Row],[addedDate]],TODAY()-properties[[#This Row],[addedDate]])</f>
        <v>42</v>
      </c>
      <c r="Y177">
        <f ca="1">IF(ISNUMBER(properties[[#This Row],[archivedDate]]),properties[[#This Row],[archivedDate]]-properties[[#This Row],[addedDate]],TODAY()-properties[[#This Row],[addedDate]])</f>
        <v>42</v>
      </c>
    </row>
    <row r="178" spans="1:25" x14ac:dyDescent="0.25">
      <c r="A178" s="1">
        <v>45820</v>
      </c>
      <c r="B178" t="s">
        <v>678</v>
      </c>
      <c r="C178" t="s">
        <v>120</v>
      </c>
      <c r="D178" s="1">
        <v>45877</v>
      </c>
      <c r="E178" t="s">
        <v>215</v>
      </c>
      <c r="F178">
        <v>0</v>
      </c>
      <c r="G178" t="s">
        <v>679</v>
      </c>
      <c r="H178" t="s">
        <v>680</v>
      </c>
      <c r="I178">
        <v>70</v>
      </c>
      <c r="J178">
        <v>70</v>
      </c>
      <c r="K178">
        <v>0</v>
      </c>
      <c r="L178" t="s">
        <v>28</v>
      </c>
      <c r="M178">
        <v>2995000</v>
      </c>
      <c r="N178">
        <v>0</v>
      </c>
      <c r="O178" t="s">
        <v>103</v>
      </c>
      <c r="P178" t="s">
        <v>123</v>
      </c>
      <c r="Q178" t="s">
        <v>43</v>
      </c>
      <c r="R178" t="s">
        <v>124</v>
      </c>
      <c r="S178" t="s">
        <v>43</v>
      </c>
      <c r="V178">
        <v>42785.714285714283</v>
      </c>
      <c r="W178">
        <v>42785.714285714283</v>
      </c>
      <c r="X178">
        <f ca="1">IF(ISNUMBER(properties[[#This Row],[archivedDate]]),properties[[#This Row],[archivedDate]]-properties[[#This Row],[addedDate]],TODAY()-properties[[#This Row],[addedDate]])</f>
        <v>57</v>
      </c>
      <c r="Y178">
        <f ca="1">IF(ISNUMBER(properties[[#This Row],[archivedDate]]),properties[[#This Row],[archivedDate]]-properties[[#This Row],[addedDate]],TODAY()-properties[[#This Row],[addedDate]])</f>
        <v>57</v>
      </c>
    </row>
    <row r="179" spans="1:25" x14ac:dyDescent="0.25">
      <c r="A179" s="1">
        <v>45820</v>
      </c>
      <c r="B179" t="s">
        <v>681</v>
      </c>
      <c r="C179" t="s">
        <v>120</v>
      </c>
      <c r="D179" s="1">
        <v>45982</v>
      </c>
      <c r="E179" t="s">
        <v>34</v>
      </c>
      <c r="F179">
        <v>0</v>
      </c>
      <c r="G179" t="s">
        <v>682</v>
      </c>
      <c r="H179" t="s">
        <v>683</v>
      </c>
      <c r="I179">
        <v>27</v>
      </c>
      <c r="J179">
        <v>27</v>
      </c>
      <c r="K179">
        <v>0</v>
      </c>
      <c r="L179" t="s">
        <v>28</v>
      </c>
      <c r="M179">
        <v>1200000</v>
      </c>
      <c r="N179">
        <v>0</v>
      </c>
      <c r="O179" t="s">
        <v>103</v>
      </c>
      <c r="P179" t="s">
        <v>55</v>
      </c>
      <c r="Q179" t="s">
        <v>43</v>
      </c>
      <c r="R179" t="s">
        <v>124</v>
      </c>
      <c r="S179" t="s">
        <v>43</v>
      </c>
      <c r="V179">
        <v>44444.444444444445</v>
      </c>
      <c r="W179">
        <v>44444.444444444445</v>
      </c>
      <c r="X179">
        <f ca="1">IF(ISNUMBER(properties[[#This Row],[archivedDate]]),properties[[#This Row],[archivedDate]]-properties[[#This Row],[addedDate]],TODAY()-properties[[#This Row],[addedDate]])</f>
        <v>162</v>
      </c>
      <c r="Y179">
        <f ca="1">IF(ISNUMBER(properties[[#This Row],[archivedDate]]),properties[[#This Row],[archivedDate]]-properties[[#This Row],[addedDate]],TODAY()-properties[[#This Row],[addedDate]])</f>
        <v>162</v>
      </c>
    </row>
    <row r="180" spans="1:25" x14ac:dyDescent="0.25">
      <c r="A180" s="1">
        <v>45820</v>
      </c>
      <c r="B180" t="s">
        <v>684</v>
      </c>
      <c r="C180" t="s">
        <v>120</v>
      </c>
      <c r="D180" s="1">
        <v>45944</v>
      </c>
      <c r="E180" t="s">
        <v>215</v>
      </c>
      <c r="F180">
        <v>0</v>
      </c>
      <c r="G180" t="s">
        <v>685</v>
      </c>
      <c r="H180" t="s">
        <v>686</v>
      </c>
      <c r="I180">
        <v>84</v>
      </c>
      <c r="J180">
        <v>84</v>
      </c>
      <c r="K180">
        <v>31000000</v>
      </c>
      <c r="L180" t="s">
        <v>28</v>
      </c>
      <c r="M180">
        <v>3100000</v>
      </c>
      <c r="N180">
        <v>0</v>
      </c>
      <c r="O180" t="s">
        <v>103</v>
      </c>
      <c r="P180" t="s">
        <v>123</v>
      </c>
      <c r="Q180" t="s">
        <v>43</v>
      </c>
      <c r="R180" t="s">
        <v>124</v>
      </c>
      <c r="S180" t="s">
        <v>687</v>
      </c>
      <c r="T180">
        <v>369047.61904761905</v>
      </c>
      <c r="U180">
        <v>369047.61904761905</v>
      </c>
      <c r="V180">
        <v>36904.761904761908</v>
      </c>
      <c r="W180">
        <v>36904.761904761908</v>
      </c>
      <c r="X180">
        <f ca="1">IF(ISNUMBER(properties[[#This Row],[archivedDate]]),properties[[#This Row],[archivedDate]]-properties[[#This Row],[addedDate]],TODAY()-properties[[#This Row],[addedDate]])</f>
        <v>124</v>
      </c>
      <c r="Y180">
        <f ca="1">IF(ISNUMBER(properties[[#This Row],[archivedDate]]),properties[[#This Row],[archivedDate]]-properties[[#This Row],[addedDate]],TODAY()-properties[[#This Row],[addedDate]])</f>
        <v>124</v>
      </c>
    </row>
    <row r="181" spans="1:25" x14ac:dyDescent="0.25">
      <c r="A181" s="1">
        <v>45821</v>
      </c>
      <c r="B181" t="s">
        <v>688</v>
      </c>
      <c r="C181" t="s">
        <v>120</v>
      </c>
      <c r="D181" s="1">
        <v>45902</v>
      </c>
      <c r="E181" t="s">
        <v>115</v>
      </c>
      <c r="F181">
        <v>0</v>
      </c>
      <c r="G181" t="s">
        <v>689</v>
      </c>
      <c r="H181" t="s">
        <v>690</v>
      </c>
      <c r="I181">
        <v>135</v>
      </c>
      <c r="J181">
        <v>287</v>
      </c>
      <c r="K181">
        <v>1650000</v>
      </c>
      <c r="L181" t="s">
        <v>28</v>
      </c>
      <c r="M181">
        <v>1300000</v>
      </c>
      <c r="N181">
        <v>0</v>
      </c>
      <c r="O181" t="s">
        <v>103</v>
      </c>
      <c r="P181" t="s">
        <v>30</v>
      </c>
      <c r="Q181" t="s">
        <v>43</v>
      </c>
      <c r="R181" t="s">
        <v>124</v>
      </c>
      <c r="S181" t="s">
        <v>691</v>
      </c>
      <c r="T181">
        <v>12222.222222222223</v>
      </c>
      <c r="U181">
        <v>5749.1289198606273</v>
      </c>
      <c r="V181">
        <v>9629.6296296296296</v>
      </c>
      <c r="W181">
        <v>4529.6167247386757</v>
      </c>
      <c r="X181">
        <f ca="1">IF(ISNUMBER(properties[[#This Row],[archivedDate]]),properties[[#This Row],[archivedDate]]-properties[[#This Row],[addedDate]],TODAY()-properties[[#This Row],[addedDate]])</f>
        <v>81</v>
      </c>
      <c r="Y181">
        <f ca="1">IF(ISNUMBER(properties[[#This Row],[archivedDate]]),properties[[#This Row],[archivedDate]]-properties[[#This Row],[addedDate]],TODAY()-properties[[#This Row],[addedDate]])</f>
        <v>81</v>
      </c>
    </row>
    <row r="182" spans="1:25" x14ac:dyDescent="0.25">
      <c r="A182" s="1">
        <v>45821</v>
      </c>
      <c r="B182" t="s">
        <v>692</v>
      </c>
      <c r="C182" t="s">
        <v>120</v>
      </c>
      <c r="D182" s="1">
        <v>45877</v>
      </c>
      <c r="E182" t="s">
        <v>146</v>
      </c>
      <c r="F182">
        <v>0</v>
      </c>
      <c r="G182" t="s">
        <v>693</v>
      </c>
      <c r="H182" t="s">
        <v>694</v>
      </c>
      <c r="I182">
        <v>220</v>
      </c>
      <c r="J182">
        <v>509</v>
      </c>
      <c r="K182">
        <v>1950000</v>
      </c>
      <c r="L182" t="s">
        <v>28</v>
      </c>
      <c r="M182">
        <v>1950000</v>
      </c>
      <c r="N182">
        <v>0</v>
      </c>
      <c r="O182" t="s">
        <v>103</v>
      </c>
      <c r="P182" t="s">
        <v>30</v>
      </c>
      <c r="Q182" t="s">
        <v>43</v>
      </c>
      <c r="R182" t="s">
        <v>124</v>
      </c>
      <c r="S182" t="s">
        <v>695</v>
      </c>
      <c r="T182">
        <v>8863.636363636364</v>
      </c>
      <c r="U182">
        <v>3831.0412573673871</v>
      </c>
      <c r="V182">
        <v>8863.636363636364</v>
      </c>
      <c r="W182">
        <v>3831.0412573673871</v>
      </c>
      <c r="X182">
        <f ca="1">IF(ISNUMBER(properties[[#This Row],[archivedDate]]),properties[[#This Row],[archivedDate]]-properties[[#This Row],[addedDate]],TODAY()-properties[[#This Row],[addedDate]])</f>
        <v>56</v>
      </c>
      <c r="Y182">
        <f ca="1">IF(ISNUMBER(properties[[#This Row],[archivedDate]]),properties[[#This Row],[archivedDate]]-properties[[#This Row],[addedDate]],TODAY()-properties[[#This Row],[addedDate]])</f>
        <v>56</v>
      </c>
    </row>
    <row r="183" spans="1:25" x14ac:dyDescent="0.25">
      <c r="A183" s="1">
        <v>45821</v>
      </c>
      <c r="B183" t="s">
        <v>696</v>
      </c>
      <c r="C183" t="s">
        <v>372</v>
      </c>
      <c r="D183" s="1">
        <v>45852</v>
      </c>
      <c r="E183" t="s">
        <v>207</v>
      </c>
      <c r="F183">
        <v>3</v>
      </c>
      <c r="G183" t="s">
        <v>697</v>
      </c>
      <c r="H183" t="s">
        <v>698</v>
      </c>
      <c r="I183">
        <v>144</v>
      </c>
      <c r="J183">
        <v>291</v>
      </c>
      <c r="K183">
        <v>1600000</v>
      </c>
      <c r="L183" t="s">
        <v>28</v>
      </c>
      <c r="M183">
        <v>1350000</v>
      </c>
      <c r="N183">
        <v>0</v>
      </c>
      <c r="O183" t="s">
        <v>103</v>
      </c>
      <c r="P183" t="s">
        <v>30</v>
      </c>
      <c r="Q183" t="s">
        <v>43</v>
      </c>
      <c r="R183" t="s">
        <v>372</v>
      </c>
      <c r="S183" t="s">
        <v>43</v>
      </c>
      <c r="T183">
        <v>11111.111111111111</v>
      </c>
      <c r="U183">
        <v>5498.2817869415803</v>
      </c>
      <c r="V183">
        <v>9375</v>
      </c>
      <c r="W183">
        <v>4639.1752577319585</v>
      </c>
      <c r="X183">
        <f ca="1">IF(ISNUMBER(properties[[#This Row],[archivedDate]]),properties[[#This Row],[archivedDate]]-properties[[#This Row],[addedDate]],TODAY()-properties[[#This Row],[addedDate]])</f>
        <v>31</v>
      </c>
      <c r="Y183">
        <f ca="1">IF(ISNUMBER(properties[[#This Row],[archivedDate]]),properties[[#This Row],[archivedDate]]-properties[[#This Row],[addedDate]],TODAY()-properties[[#This Row],[addedDate]])</f>
        <v>31</v>
      </c>
    </row>
    <row r="184" spans="1:25" x14ac:dyDescent="0.25">
      <c r="A184" s="1">
        <v>45824</v>
      </c>
      <c r="B184" t="s">
        <v>699</v>
      </c>
      <c r="C184" t="s">
        <v>120</v>
      </c>
      <c r="D184" s="1">
        <v>45889</v>
      </c>
      <c r="E184" t="s">
        <v>46</v>
      </c>
      <c r="F184">
        <v>0</v>
      </c>
      <c r="G184" t="s">
        <v>700</v>
      </c>
      <c r="H184" t="s">
        <v>701</v>
      </c>
      <c r="I184">
        <v>223</v>
      </c>
      <c r="J184">
        <v>163</v>
      </c>
      <c r="K184">
        <v>0</v>
      </c>
      <c r="L184" t="s">
        <v>28</v>
      </c>
      <c r="M184">
        <v>5795000</v>
      </c>
      <c r="N184">
        <v>0</v>
      </c>
      <c r="O184" t="s">
        <v>103</v>
      </c>
      <c r="P184" t="s">
        <v>108</v>
      </c>
      <c r="Q184" t="s">
        <v>43</v>
      </c>
      <c r="R184" t="s">
        <v>124</v>
      </c>
      <c r="S184" t="s">
        <v>691</v>
      </c>
      <c r="V184">
        <v>25986.547085201793</v>
      </c>
      <c r="W184">
        <v>35552.147239263802</v>
      </c>
      <c r="X184">
        <f ca="1">IF(ISNUMBER(properties[[#This Row],[archivedDate]]),properties[[#This Row],[archivedDate]]-properties[[#This Row],[addedDate]],TODAY()-properties[[#This Row],[addedDate]])</f>
        <v>65</v>
      </c>
      <c r="Y184">
        <f ca="1">IF(ISNUMBER(properties[[#This Row],[archivedDate]]),properties[[#This Row],[archivedDate]]-properties[[#This Row],[addedDate]],TODAY()-properties[[#This Row],[addedDate]])</f>
        <v>65</v>
      </c>
    </row>
    <row r="185" spans="1:25" x14ac:dyDescent="0.25">
      <c r="A185" s="1">
        <v>45824</v>
      </c>
      <c r="B185" t="s">
        <v>702</v>
      </c>
      <c r="C185" t="s">
        <v>372</v>
      </c>
      <c r="D185" s="1">
        <v>45849</v>
      </c>
      <c r="E185" t="s">
        <v>34</v>
      </c>
      <c r="F185">
        <v>2</v>
      </c>
      <c r="G185" t="s">
        <v>703</v>
      </c>
      <c r="H185" t="s">
        <v>704</v>
      </c>
      <c r="I185">
        <v>71</v>
      </c>
      <c r="J185">
        <v>89</v>
      </c>
      <c r="K185">
        <v>2600000</v>
      </c>
      <c r="L185" t="s">
        <v>28</v>
      </c>
      <c r="M185">
        <v>2500000</v>
      </c>
      <c r="N185">
        <v>0</v>
      </c>
      <c r="O185" t="s">
        <v>103</v>
      </c>
      <c r="P185" t="s">
        <v>30</v>
      </c>
      <c r="Q185" t="s">
        <v>43</v>
      </c>
      <c r="R185" t="s">
        <v>372</v>
      </c>
      <c r="S185" t="s">
        <v>43</v>
      </c>
      <c r="T185">
        <v>36619.718309859156</v>
      </c>
      <c r="U185">
        <v>29213.483146067414</v>
      </c>
      <c r="V185">
        <v>35211.267605633802</v>
      </c>
      <c r="W185">
        <v>28089.887640449437</v>
      </c>
      <c r="X185">
        <f ca="1">IF(ISNUMBER(properties[[#This Row],[archivedDate]]),properties[[#This Row],[archivedDate]]-properties[[#This Row],[addedDate]],TODAY()-properties[[#This Row],[addedDate]])</f>
        <v>25</v>
      </c>
      <c r="Y185">
        <f ca="1">IF(ISNUMBER(properties[[#This Row],[archivedDate]]),properties[[#This Row],[archivedDate]]-properties[[#This Row],[addedDate]],TODAY()-properties[[#This Row],[addedDate]])</f>
        <v>25</v>
      </c>
    </row>
    <row r="186" spans="1:25" x14ac:dyDescent="0.25">
      <c r="A186" s="1">
        <v>45824</v>
      </c>
      <c r="B186" t="s">
        <v>705</v>
      </c>
      <c r="C186" t="s">
        <v>372</v>
      </c>
      <c r="D186" s="1">
        <v>45867</v>
      </c>
      <c r="E186" t="s">
        <v>40</v>
      </c>
      <c r="F186">
        <v>3</v>
      </c>
      <c r="G186" t="s">
        <v>706</v>
      </c>
      <c r="H186" t="s">
        <v>707</v>
      </c>
      <c r="I186">
        <v>153</v>
      </c>
      <c r="J186">
        <v>405</v>
      </c>
      <c r="K186">
        <v>1750000</v>
      </c>
      <c r="L186" t="s">
        <v>28</v>
      </c>
      <c r="M186">
        <v>1995000</v>
      </c>
      <c r="N186">
        <v>0</v>
      </c>
      <c r="O186" t="s">
        <v>103</v>
      </c>
      <c r="P186" t="s">
        <v>30</v>
      </c>
      <c r="Q186" t="s">
        <v>43</v>
      </c>
      <c r="R186" t="s">
        <v>372</v>
      </c>
      <c r="S186" t="s">
        <v>43</v>
      </c>
      <c r="T186">
        <v>11437.908496732027</v>
      </c>
      <c r="U186">
        <v>4320.9876543209875</v>
      </c>
      <c r="V186">
        <v>13039.215686274511</v>
      </c>
      <c r="W186">
        <v>4925.9259259259261</v>
      </c>
      <c r="X186">
        <f ca="1">IF(ISNUMBER(properties[[#This Row],[archivedDate]]),properties[[#This Row],[archivedDate]]-properties[[#This Row],[addedDate]],TODAY()-properties[[#This Row],[addedDate]])</f>
        <v>43</v>
      </c>
      <c r="Y186">
        <f ca="1">IF(ISNUMBER(properties[[#This Row],[archivedDate]]),properties[[#This Row],[archivedDate]]-properties[[#This Row],[addedDate]],TODAY()-properties[[#This Row],[addedDate]])</f>
        <v>43</v>
      </c>
    </row>
    <row r="187" spans="1:25" x14ac:dyDescent="0.25">
      <c r="A187" s="1">
        <v>45825</v>
      </c>
      <c r="B187" t="s">
        <v>708</v>
      </c>
      <c r="C187" t="s">
        <v>120</v>
      </c>
      <c r="D187" s="1">
        <v>46001</v>
      </c>
      <c r="E187" t="s">
        <v>709</v>
      </c>
      <c r="F187">
        <v>0</v>
      </c>
      <c r="G187" t="s">
        <v>710</v>
      </c>
      <c r="H187" t="s">
        <v>711</v>
      </c>
      <c r="I187">
        <v>300</v>
      </c>
      <c r="J187">
        <v>1260</v>
      </c>
      <c r="K187">
        <v>3100000</v>
      </c>
      <c r="L187" t="s">
        <v>28</v>
      </c>
      <c r="M187">
        <v>2950000</v>
      </c>
      <c r="N187">
        <v>0</v>
      </c>
      <c r="O187" t="s">
        <v>103</v>
      </c>
      <c r="P187" t="s">
        <v>30</v>
      </c>
      <c r="Q187" t="s">
        <v>43</v>
      </c>
      <c r="R187" t="s">
        <v>124</v>
      </c>
      <c r="S187" t="s">
        <v>712</v>
      </c>
      <c r="T187">
        <v>10333.333333333334</v>
      </c>
      <c r="U187">
        <v>2460.3174603174602</v>
      </c>
      <c r="V187">
        <v>9833.3333333333339</v>
      </c>
      <c r="W187">
        <v>2341.2698412698414</v>
      </c>
      <c r="X187">
        <f ca="1">IF(ISNUMBER(properties[[#This Row],[archivedDate]]),properties[[#This Row],[archivedDate]]-properties[[#This Row],[addedDate]],TODAY()-properties[[#This Row],[addedDate]])</f>
        <v>176</v>
      </c>
      <c r="Y187">
        <f ca="1">IF(ISNUMBER(properties[[#This Row],[archivedDate]]),properties[[#This Row],[archivedDate]]-properties[[#This Row],[addedDate]],TODAY()-properties[[#This Row],[addedDate]])</f>
        <v>176</v>
      </c>
    </row>
    <row r="188" spans="1:25" x14ac:dyDescent="0.25">
      <c r="A188" s="1">
        <v>45831</v>
      </c>
      <c r="B188" t="s">
        <v>713</v>
      </c>
      <c r="C188" t="s">
        <v>120</v>
      </c>
      <c r="D188" s="1">
        <v>45925</v>
      </c>
      <c r="E188" t="s">
        <v>141</v>
      </c>
      <c r="F188">
        <v>0</v>
      </c>
      <c r="G188" t="s">
        <v>714</v>
      </c>
      <c r="H188" t="s">
        <v>715</v>
      </c>
      <c r="I188">
        <v>65</v>
      </c>
      <c r="J188">
        <v>2384</v>
      </c>
      <c r="K188">
        <v>1900000</v>
      </c>
      <c r="L188" t="s">
        <v>28</v>
      </c>
      <c r="M188">
        <v>1995000</v>
      </c>
      <c r="N188">
        <v>0</v>
      </c>
      <c r="O188" t="s">
        <v>103</v>
      </c>
      <c r="P188" t="s">
        <v>30</v>
      </c>
      <c r="Q188" t="s">
        <v>43</v>
      </c>
      <c r="R188" t="s">
        <v>124</v>
      </c>
      <c r="S188" t="s">
        <v>43</v>
      </c>
      <c r="T188">
        <v>29230.76923076923</v>
      </c>
      <c r="U188">
        <v>796.97986577181211</v>
      </c>
      <c r="V188">
        <v>30692.307692307691</v>
      </c>
      <c r="W188">
        <v>836.82885906040269</v>
      </c>
      <c r="X188">
        <f ca="1">IF(ISNUMBER(properties[[#This Row],[archivedDate]]),properties[[#This Row],[archivedDate]]-properties[[#This Row],[addedDate]],TODAY()-properties[[#This Row],[addedDate]])</f>
        <v>94</v>
      </c>
      <c r="Y188">
        <f ca="1">IF(ISNUMBER(properties[[#This Row],[archivedDate]]),properties[[#This Row],[archivedDate]]-properties[[#This Row],[addedDate]],TODAY()-properties[[#This Row],[addedDate]])</f>
        <v>94</v>
      </c>
    </row>
    <row r="189" spans="1:25" x14ac:dyDescent="0.25">
      <c r="A189" s="1">
        <v>45831</v>
      </c>
      <c r="B189" t="s">
        <v>716</v>
      </c>
      <c r="C189" t="s">
        <v>120</v>
      </c>
      <c r="D189" s="1">
        <v>45877</v>
      </c>
      <c r="E189" t="s">
        <v>215</v>
      </c>
      <c r="F189">
        <v>0</v>
      </c>
      <c r="G189" t="s">
        <v>717</v>
      </c>
      <c r="H189" t="s">
        <v>718</v>
      </c>
      <c r="I189">
        <v>86</v>
      </c>
      <c r="J189">
        <v>86</v>
      </c>
      <c r="K189">
        <v>3200000</v>
      </c>
      <c r="L189" t="s">
        <v>28</v>
      </c>
      <c r="M189">
        <v>3200000</v>
      </c>
      <c r="N189">
        <v>0</v>
      </c>
      <c r="O189" t="s">
        <v>103</v>
      </c>
      <c r="P189" t="s">
        <v>123</v>
      </c>
      <c r="Q189" t="s">
        <v>43</v>
      </c>
      <c r="R189" t="s">
        <v>124</v>
      </c>
      <c r="S189" t="s">
        <v>43</v>
      </c>
      <c r="T189">
        <v>37209.302325581397</v>
      </c>
      <c r="U189">
        <v>37209.302325581397</v>
      </c>
      <c r="V189">
        <v>37209.302325581397</v>
      </c>
      <c r="W189">
        <v>37209.302325581397</v>
      </c>
      <c r="X189">
        <f ca="1">IF(ISNUMBER(properties[[#This Row],[archivedDate]]),properties[[#This Row],[archivedDate]]-properties[[#This Row],[addedDate]],TODAY()-properties[[#This Row],[addedDate]])</f>
        <v>46</v>
      </c>
      <c r="Y189">
        <f ca="1">IF(ISNUMBER(properties[[#This Row],[archivedDate]]),properties[[#This Row],[archivedDate]]-properties[[#This Row],[addedDate]],TODAY()-properties[[#This Row],[addedDate]])</f>
        <v>46</v>
      </c>
    </row>
    <row r="190" spans="1:25" x14ac:dyDescent="0.25">
      <c r="A190" s="1">
        <v>45831</v>
      </c>
      <c r="B190" t="s">
        <v>719</v>
      </c>
      <c r="C190" t="s">
        <v>372</v>
      </c>
      <c r="D190" s="1">
        <v>45968</v>
      </c>
      <c r="E190" t="s">
        <v>46</v>
      </c>
      <c r="F190">
        <v>2</v>
      </c>
      <c r="G190" t="s">
        <v>720</v>
      </c>
      <c r="H190" t="s">
        <v>721</v>
      </c>
      <c r="I190">
        <v>526</v>
      </c>
      <c r="J190">
        <v>1128</v>
      </c>
      <c r="K190">
        <v>0</v>
      </c>
      <c r="L190" t="s">
        <v>28</v>
      </c>
      <c r="M190">
        <v>7000000</v>
      </c>
      <c r="N190">
        <v>0</v>
      </c>
      <c r="O190" t="s">
        <v>103</v>
      </c>
      <c r="P190" t="s">
        <v>30</v>
      </c>
      <c r="Q190" t="s">
        <v>43</v>
      </c>
      <c r="R190" t="s">
        <v>372</v>
      </c>
      <c r="S190" t="s">
        <v>43</v>
      </c>
      <c r="V190">
        <v>13307.984790874525</v>
      </c>
      <c r="W190">
        <v>6205.6737588652486</v>
      </c>
      <c r="X190">
        <f ca="1">IF(ISNUMBER(properties[[#This Row],[archivedDate]]),properties[[#This Row],[archivedDate]]-properties[[#This Row],[addedDate]],TODAY()-properties[[#This Row],[addedDate]])</f>
        <v>137</v>
      </c>
      <c r="Y190">
        <f ca="1">IF(ISNUMBER(properties[[#This Row],[archivedDate]]),properties[[#This Row],[archivedDate]]-properties[[#This Row],[addedDate]],TODAY()-properties[[#This Row],[addedDate]])</f>
        <v>137</v>
      </c>
    </row>
    <row r="191" spans="1:25" x14ac:dyDescent="0.25">
      <c r="A191" s="1">
        <v>45832</v>
      </c>
      <c r="B191" t="s">
        <v>722</v>
      </c>
      <c r="C191" t="s">
        <v>120</v>
      </c>
      <c r="D191" s="1">
        <v>45902</v>
      </c>
      <c r="E191" t="s">
        <v>229</v>
      </c>
      <c r="F191">
        <v>0</v>
      </c>
      <c r="G191" t="s">
        <v>723</v>
      </c>
      <c r="H191" t="s">
        <v>724</v>
      </c>
      <c r="I191">
        <v>141</v>
      </c>
      <c r="J191">
        <v>387</v>
      </c>
      <c r="K191">
        <v>400000</v>
      </c>
      <c r="L191" t="s">
        <v>28</v>
      </c>
      <c r="M191">
        <v>475000</v>
      </c>
      <c r="N191">
        <v>0</v>
      </c>
      <c r="O191" t="s">
        <v>103</v>
      </c>
      <c r="P191" t="s">
        <v>30</v>
      </c>
      <c r="Q191" t="s">
        <v>43</v>
      </c>
      <c r="R191" t="s">
        <v>124</v>
      </c>
      <c r="S191" t="s">
        <v>725</v>
      </c>
      <c r="T191">
        <v>2836.8794326241136</v>
      </c>
      <c r="U191">
        <v>1033.59173126615</v>
      </c>
      <c r="V191">
        <v>3368.794326241135</v>
      </c>
      <c r="W191">
        <v>1227.3901808785529</v>
      </c>
      <c r="X191">
        <f ca="1">IF(ISNUMBER(properties[[#This Row],[archivedDate]]),properties[[#This Row],[archivedDate]]-properties[[#This Row],[addedDate]],TODAY()-properties[[#This Row],[addedDate]])</f>
        <v>70</v>
      </c>
      <c r="Y191">
        <f ca="1">IF(ISNUMBER(properties[[#This Row],[archivedDate]]),properties[[#This Row],[archivedDate]]-properties[[#This Row],[addedDate]],TODAY()-properties[[#This Row],[addedDate]])</f>
        <v>70</v>
      </c>
    </row>
    <row r="192" spans="1:25" x14ac:dyDescent="0.25">
      <c r="A192" s="1">
        <v>45832</v>
      </c>
      <c r="B192" t="s">
        <v>726</v>
      </c>
      <c r="C192" t="s">
        <v>372</v>
      </c>
      <c r="D192" s="1">
        <v>45951</v>
      </c>
      <c r="E192" t="s">
        <v>515</v>
      </c>
      <c r="F192">
        <v>1</v>
      </c>
      <c r="G192" t="s">
        <v>727</v>
      </c>
      <c r="H192" t="s">
        <v>728</v>
      </c>
      <c r="I192">
        <v>73</v>
      </c>
      <c r="J192">
        <v>278</v>
      </c>
      <c r="K192">
        <v>0</v>
      </c>
      <c r="L192" t="s">
        <v>28</v>
      </c>
      <c r="M192">
        <v>2495000</v>
      </c>
      <c r="N192">
        <v>0</v>
      </c>
      <c r="O192" t="s">
        <v>103</v>
      </c>
      <c r="P192" t="s">
        <v>30</v>
      </c>
      <c r="Q192" t="s">
        <v>43</v>
      </c>
      <c r="R192" t="s">
        <v>372</v>
      </c>
      <c r="S192" t="s">
        <v>43</v>
      </c>
      <c r="V192">
        <v>34178.082191780821</v>
      </c>
      <c r="W192">
        <v>8974.8201438848919</v>
      </c>
      <c r="X192">
        <f ca="1">IF(ISNUMBER(properties[[#This Row],[archivedDate]]),properties[[#This Row],[archivedDate]]-properties[[#This Row],[addedDate]],TODAY()-properties[[#This Row],[addedDate]])</f>
        <v>119</v>
      </c>
      <c r="Y192">
        <f ca="1">IF(ISNUMBER(properties[[#This Row],[archivedDate]]),properties[[#This Row],[archivedDate]]-properties[[#This Row],[addedDate]],TODAY()-properties[[#This Row],[addedDate]])</f>
        <v>119</v>
      </c>
    </row>
    <row r="193" spans="1:25" x14ac:dyDescent="0.25">
      <c r="A193" s="1">
        <v>45833</v>
      </c>
      <c r="B193" t="s">
        <v>729</v>
      </c>
      <c r="C193" t="s">
        <v>372</v>
      </c>
      <c r="D193" s="1">
        <v>45863</v>
      </c>
      <c r="E193" t="s">
        <v>196</v>
      </c>
      <c r="F193">
        <v>2</v>
      </c>
      <c r="G193" t="s">
        <v>730</v>
      </c>
      <c r="H193" t="s">
        <v>731</v>
      </c>
      <c r="I193">
        <v>207</v>
      </c>
      <c r="J193">
        <v>719</v>
      </c>
      <c r="K193">
        <v>1400000</v>
      </c>
      <c r="L193" t="s">
        <v>28</v>
      </c>
      <c r="M193">
        <v>1095000</v>
      </c>
      <c r="N193">
        <v>0</v>
      </c>
      <c r="O193" t="s">
        <v>103</v>
      </c>
      <c r="P193" t="s">
        <v>30</v>
      </c>
      <c r="Q193" t="s">
        <v>43</v>
      </c>
      <c r="R193" t="s">
        <v>372</v>
      </c>
      <c r="S193" t="s">
        <v>43</v>
      </c>
      <c r="T193">
        <v>6763.2850241545893</v>
      </c>
      <c r="U193">
        <v>1947.1488178025036</v>
      </c>
      <c r="V193">
        <v>5289.855072463768</v>
      </c>
      <c r="W193">
        <v>1522.9485396383866</v>
      </c>
      <c r="X193">
        <f ca="1">IF(ISNUMBER(properties[[#This Row],[archivedDate]]),properties[[#This Row],[archivedDate]]-properties[[#This Row],[addedDate]],TODAY()-properties[[#This Row],[addedDate]])</f>
        <v>30</v>
      </c>
      <c r="Y193">
        <f ca="1">IF(ISNUMBER(properties[[#This Row],[archivedDate]]),properties[[#This Row],[archivedDate]]-properties[[#This Row],[addedDate]],TODAY()-properties[[#This Row],[addedDate]])</f>
        <v>30</v>
      </c>
    </row>
    <row r="194" spans="1:25" x14ac:dyDescent="0.25">
      <c r="A194" s="1">
        <v>45834</v>
      </c>
      <c r="B194" t="s">
        <v>732</v>
      </c>
      <c r="C194" t="s">
        <v>120</v>
      </c>
      <c r="D194" s="1">
        <v>45925</v>
      </c>
      <c r="E194" t="s">
        <v>52</v>
      </c>
      <c r="F194">
        <v>0</v>
      </c>
      <c r="G194" t="s">
        <v>733</v>
      </c>
      <c r="H194" t="s">
        <v>734</v>
      </c>
      <c r="I194">
        <v>196</v>
      </c>
      <c r="J194">
        <v>1121</v>
      </c>
      <c r="K194">
        <v>2400000</v>
      </c>
      <c r="L194" t="s">
        <v>28</v>
      </c>
      <c r="M194">
        <v>2300000</v>
      </c>
      <c r="N194">
        <v>0</v>
      </c>
      <c r="O194" t="s">
        <v>103</v>
      </c>
      <c r="P194" t="s">
        <v>30</v>
      </c>
      <c r="Q194" t="s">
        <v>43</v>
      </c>
      <c r="R194" t="s">
        <v>124</v>
      </c>
      <c r="S194" t="s">
        <v>735</v>
      </c>
      <c r="T194">
        <v>12244.897959183674</v>
      </c>
      <c r="U194">
        <v>2140.9455842997322</v>
      </c>
      <c r="V194">
        <v>11734.693877551021</v>
      </c>
      <c r="W194">
        <v>2051.7395182872438</v>
      </c>
      <c r="X194">
        <f ca="1">IF(ISNUMBER(properties[[#This Row],[archivedDate]]),properties[[#This Row],[archivedDate]]-properties[[#This Row],[addedDate]],TODAY()-properties[[#This Row],[addedDate]])</f>
        <v>91</v>
      </c>
      <c r="Y194">
        <f ca="1">IF(ISNUMBER(properties[[#This Row],[archivedDate]]),properties[[#This Row],[archivedDate]]-properties[[#This Row],[addedDate]],TODAY()-properties[[#This Row],[addedDate]])</f>
        <v>91</v>
      </c>
    </row>
    <row r="195" spans="1:25" x14ac:dyDescent="0.25">
      <c r="A195" s="1">
        <v>45834</v>
      </c>
      <c r="B195" t="s">
        <v>736</v>
      </c>
      <c r="C195" t="s">
        <v>120</v>
      </c>
      <c r="D195" s="1">
        <v>45910</v>
      </c>
      <c r="E195" t="s">
        <v>52</v>
      </c>
      <c r="F195">
        <v>0</v>
      </c>
      <c r="G195" t="s">
        <v>737</v>
      </c>
      <c r="H195" t="s">
        <v>738</v>
      </c>
      <c r="I195">
        <v>742</v>
      </c>
      <c r="J195">
        <v>742</v>
      </c>
      <c r="K195">
        <v>200000</v>
      </c>
      <c r="L195" t="s">
        <v>28</v>
      </c>
      <c r="M195">
        <v>125000</v>
      </c>
      <c r="N195">
        <v>0</v>
      </c>
      <c r="O195" t="s">
        <v>103</v>
      </c>
      <c r="P195" t="s">
        <v>98</v>
      </c>
      <c r="Q195" t="s">
        <v>43</v>
      </c>
      <c r="R195" t="s">
        <v>124</v>
      </c>
      <c r="S195" t="s">
        <v>43</v>
      </c>
      <c r="T195">
        <v>269.54177897574124</v>
      </c>
      <c r="U195">
        <v>269.54177897574124</v>
      </c>
      <c r="V195">
        <v>168.46361185983827</v>
      </c>
      <c r="W195">
        <v>168.46361185983827</v>
      </c>
      <c r="X195">
        <f ca="1">IF(ISNUMBER(properties[[#This Row],[archivedDate]]),properties[[#This Row],[archivedDate]]-properties[[#This Row],[addedDate]],TODAY()-properties[[#This Row],[addedDate]])</f>
        <v>76</v>
      </c>
      <c r="Y195">
        <f ca="1">IF(ISNUMBER(properties[[#This Row],[archivedDate]]),properties[[#This Row],[archivedDate]]-properties[[#This Row],[addedDate]],TODAY()-properties[[#This Row],[addedDate]])</f>
        <v>76</v>
      </c>
    </row>
    <row r="196" spans="1:25" x14ac:dyDescent="0.25">
      <c r="A196" s="1">
        <v>45834</v>
      </c>
      <c r="B196" t="s">
        <v>739</v>
      </c>
      <c r="C196" t="s">
        <v>372</v>
      </c>
      <c r="D196" s="1">
        <v>45895</v>
      </c>
      <c r="E196" t="s">
        <v>141</v>
      </c>
      <c r="F196">
        <v>3</v>
      </c>
      <c r="G196" t="s">
        <v>740</v>
      </c>
      <c r="H196" t="s">
        <v>741</v>
      </c>
      <c r="I196">
        <v>291</v>
      </c>
      <c r="J196">
        <v>356</v>
      </c>
      <c r="K196">
        <v>2550000</v>
      </c>
      <c r="L196" t="s">
        <v>28</v>
      </c>
      <c r="M196">
        <v>2495000</v>
      </c>
      <c r="N196">
        <v>0</v>
      </c>
      <c r="O196" t="s">
        <v>103</v>
      </c>
      <c r="P196" t="s">
        <v>30</v>
      </c>
      <c r="Q196" t="s">
        <v>43</v>
      </c>
      <c r="R196" t="s">
        <v>372</v>
      </c>
      <c r="S196" t="s">
        <v>43</v>
      </c>
      <c r="T196">
        <v>8762.8865979381444</v>
      </c>
      <c r="U196">
        <v>7162.9213483146068</v>
      </c>
      <c r="V196">
        <v>8573.8831615120271</v>
      </c>
      <c r="W196">
        <v>7008.4269662921351</v>
      </c>
      <c r="X196">
        <f ca="1">IF(ISNUMBER(properties[[#This Row],[archivedDate]]),properties[[#This Row],[archivedDate]]-properties[[#This Row],[addedDate]],TODAY()-properties[[#This Row],[addedDate]])</f>
        <v>61</v>
      </c>
      <c r="Y196">
        <f ca="1">IF(ISNUMBER(properties[[#This Row],[archivedDate]]),properties[[#This Row],[archivedDate]]-properties[[#This Row],[addedDate]],TODAY()-properties[[#This Row],[addedDate]])</f>
        <v>61</v>
      </c>
    </row>
    <row r="197" spans="1:25" x14ac:dyDescent="0.25">
      <c r="A197" s="1">
        <v>45835</v>
      </c>
      <c r="B197" t="s">
        <v>742</v>
      </c>
      <c r="C197" t="s">
        <v>372</v>
      </c>
      <c r="D197" s="1">
        <v>45867</v>
      </c>
      <c r="E197" t="s">
        <v>77</v>
      </c>
      <c r="F197">
        <v>2</v>
      </c>
      <c r="G197" t="s">
        <v>743</v>
      </c>
      <c r="H197" t="s">
        <v>744</v>
      </c>
      <c r="I197">
        <v>129</v>
      </c>
      <c r="J197">
        <v>175</v>
      </c>
      <c r="K197">
        <v>1350000</v>
      </c>
      <c r="L197" t="s">
        <v>28</v>
      </c>
      <c r="M197">
        <v>1300000</v>
      </c>
      <c r="N197">
        <v>0</v>
      </c>
      <c r="O197" t="s">
        <v>103</v>
      </c>
      <c r="P197" t="s">
        <v>30</v>
      </c>
      <c r="Q197" t="s">
        <v>43</v>
      </c>
      <c r="R197" t="s">
        <v>372</v>
      </c>
      <c r="S197" t="s">
        <v>43</v>
      </c>
      <c r="T197">
        <v>10465.116279069767</v>
      </c>
      <c r="U197">
        <v>7714.2857142857147</v>
      </c>
      <c r="V197">
        <v>10077.519379844962</v>
      </c>
      <c r="W197">
        <v>7428.5714285714284</v>
      </c>
      <c r="X197">
        <f ca="1">IF(ISNUMBER(properties[[#This Row],[archivedDate]]),properties[[#This Row],[archivedDate]]-properties[[#This Row],[addedDate]],TODAY()-properties[[#This Row],[addedDate]])</f>
        <v>32</v>
      </c>
      <c r="Y197">
        <f ca="1">IF(ISNUMBER(properties[[#This Row],[archivedDate]]),properties[[#This Row],[archivedDate]]-properties[[#This Row],[addedDate]],TODAY()-properties[[#This Row],[addedDate]])</f>
        <v>32</v>
      </c>
    </row>
    <row r="198" spans="1:25" x14ac:dyDescent="0.25">
      <c r="A198" s="1">
        <v>45835</v>
      </c>
      <c r="B198" t="s">
        <v>745</v>
      </c>
      <c r="C198" t="s">
        <v>372</v>
      </c>
      <c r="D198" s="1">
        <v>45884</v>
      </c>
      <c r="E198" t="s">
        <v>746</v>
      </c>
      <c r="F198">
        <v>0</v>
      </c>
      <c r="G198" t="s">
        <v>747</v>
      </c>
      <c r="H198" t="s">
        <v>748</v>
      </c>
      <c r="I198">
        <v>0</v>
      </c>
      <c r="J198">
        <v>11026</v>
      </c>
      <c r="K198">
        <v>180000</v>
      </c>
      <c r="L198" t="s">
        <v>28</v>
      </c>
      <c r="M198">
        <v>260000</v>
      </c>
      <c r="N198">
        <v>0</v>
      </c>
      <c r="O198" t="s">
        <v>103</v>
      </c>
      <c r="P198" t="s">
        <v>194</v>
      </c>
      <c r="Q198" t="s">
        <v>43</v>
      </c>
      <c r="R198" t="s">
        <v>372</v>
      </c>
      <c r="S198" t="s">
        <v>43</v>
      </c>
      <c r="U198">
        <v>16.325049882096863</v>
      </c>
      <c r="W198">
        <v>23.580627607473247</v>
      </c>
      <c r="X198">
        <f ca="1">IF(ISNUMBER(properties[[#This Row],[archivedDate]]),properties[[#This Row],[archivedDate]]-properties[[#This Row],[addedDate]],TODAY()-properties[[#This Row],[addedDate]])</f>
        <v>49</v>
      </c>
      <c r="Y198">
        <f ca="1">IF(ISNUMBER(properties[[#This Row],[archivedDate]]),properties[[#This Row],[archivedDate]]-properties[[#This Row],[addedDate]],TODAY()-properties[[#This Row],[addedDate]])</f>
        <v>49</v>
      </c>
    </row>
    <row r="199" spans="1:25" x14ac:dyDescent="0.25">
      <c r="A199" s="1">
        <v>45838</v>
      </c>
      <c r="B199" t="s">
        <v>43</v>
      </c>
      <c r="C199" t="s">
        <v>120</v>
      </c>
      <c r="D199" s="1">
        <v>45971</v>
      </c>
      <c r="E199" t="s">
        <v>63</v>
      </c>
      <c r="F199">
        <v>0</v>
      </c>
      <c r="G199" t="s">
        <v>749</v>
      </c>
      <c r="H199" t="s">
        <v>750</v>
      </c>
      <c r="I199">
        <v>8386</v>
      </c>
      <c r="J199">
        <v>8386</v>
      </c>
      <c r="K199">
        <v>300000</v>
      </c>
      <c r="L199" t="s">
        <v>28</v>
      </c>
      <c r="M199">
        <v>400000</v>
      </c>
      <c r="N199">
        <v>0</v>
      </c>
      <c r="O199" t="s">
        <v>103</v>
      </c>
      <c r="P199" t="s">
        <v>194</v>
      </c>
      <c r="Q199" t="s">
        <v>43</v>
      </c>
      <c r="R199" t="s">
        <v>124</v>
      </c>
      <c r="S199" t="s">
        <v>43</v>
      </c>
      <c r="T199">
        <v>35.773908895778682</v>
      </c>
      <c r="U199">
        <v>35.773908895778682</v>
      </c>
      <c r="V199">
        <v>47.698545194371569</v>
      </c>
      <c r="W199">
        <v>47.698545194371569</v>
      </c>
      <c r="X199">
        <f ca="1">IF(ISNUMBER(properties[[#This Row],[archivedDate]]),properties[[#This Row],[archivedDate]]-properties[[#This Row],[addedDate]],TODAY()-properties[[#This Row],[addedDate]])</f>
        <v>133</v>
      </c>
      <c r="Y199">
        <f ca="1">IF(ISNUMBER(properties[[#This Row],[archivedDate]]),properties[[#This Row],[archivedDate]]-properties[[#This Row],[addedDate]],TODAY()-properties[[#This Row],[addedDate]])</f>
        <v>133</v>
      </c>
    </row>
    <row r="200" spans="1:25" x14ac:dyDescent="0.25">
      <c r="A200" s="1">
        <v>45842</v>
      </c>
      <c r="B200" t="s">
        <v>751</v>
      </c>
      <c r="C200" t="s">
        <v>372</v>
      </c>
      <c r="D200" s="1">
        <v>45867</v>
      </c>
      <c r="E200" t="s">
        <v>752</v>
      </c>
      <c r="F200">
        <v>3</v>
      </c>
      <c r="G200" t="s">
        <v>753</v>
      </c>
      <c r="H200" t="s">
        <v>754</v>
      </c>
      <c r="I200">
        <v>231</v>
      </c>
      <c r="J200">
        <v>501</v>
      </c>
      <c r="K200">
        <v>1995000</v>
      </c>
      <c r="L200" t="s">
        <v>28</v>
      </c>
      <c r="M200">
        <v>1995000</v>
      </c>
      <c r="N200">
        <v>0</v>
      </c>
      <c r="O200" t="s">
        <v>103</v>
      </c>
      <c r="P200" t="s">
        <v>30</v>
      </c>
      <c r="Q200" t="s">
        <v>43</v>
      </c>
      <c r="R200" t="s">
        <v>372</v>
      </c>
      <c r="S200" t="s">
        <v>43</v>
      </c>
      <c r="T200">
        <v>8636.363636363636</v>
      </c>
      <c r="U200">
        <v>3982.0359281437127</v>
      </c>
      <c r="V200">
        <v>8636.363636363636</v>
      </c>
      <c r="W200">
        <v>3982.0359281437127</v>
      </c>
      <c r="X200">
        <f ca="1">IF(ISNUMBER(properties[[#This Row],[archivedDate]]),properties[[#This Row],[archivedDate]]-properties[[#This Row],[addedDate]],TODAY()-properties[[#This Row],[addedDate]])</f>
        <v>25</v>
      </c>
      <c r="Y200">
        <f ca="1">IF(ISNUMBER(properties[[#This Row],[archivedDate]]),properties[[#This Row],[archivedDate]]-properties[[#This Row],[addedDate]],TODAY()-properties[[#This Row],[addedDate]])</f>
        <v>25</v>
      </c>
    </row>
    <row r="201" spans="1:25" x14ac:dyDescent="0.25">
      <c r="A201" s="1">
        <v>45842</v>
      </c>
      <c r="B201" t="s">
        <v>755</v>
      </c>
      <c r="C201" t="s">
        <v>372</v>
      </c>
      <c r="D201" s="1">
        <v>45923</v>
      </c>
      <c r="E201" t="s">
        <v>675</v>
      </c>
      <c r="F201">
        <v>0</v>
      </c>
      <c r="G201" t="s">
        <v>756</v>
      </c>
      <c r="H201" t="s">
        <v>757</v>
      </c>
      <c r="I201">
        <v>0</v>
      </c>
      <c r="J201">
        <v>622</v>
      </c>
      <c r="K201">
        <v>900000</v>
      </c>
      <c r="L201" t="s">
        <v>28</v>
      </c>
      <c r="M201">
        <v>1400000</v>
      </c>
      <c r="N201">
        <v>0</v>
      </c>
      <c r="O201" t="s">
        <v>103</v>
      </c>
      <c r="P201" t="s">
        <v>98</v>
      </c>
      <c r="Q201" t="s">
        <v>43</v>
      </c>
      <c r="R201" t="s">
        <v>372</v>
      </c>
      <c r="S201" t="s">
        <v>43</v>
      </c>
      <c r="U201">
        <v>1446.9453376205788</v>
      </c>
      <c r="W201">
        <v>2250.8038585209001</v>
      </c>
      <c r="X201">
        <f ca="1">IF(ISNUMBER(properties[[#This Row],[archivedDate]]),properties[[#This Row],[archivedDate]]-properties[[#This Row],[addedDate]],TODAY()-properties[[#This Row],[addedDate]])</f>
        <v>81</v>
      </c>
      <c r="Y201">
        <f ca="1">IF(ISNUMBER(properties[[#This Row],[archivedDate]]),properties[[#This Row],[archivedDate]]-properties[[#This Row],[addedDate]],TODAY()-properties[[#This Row],[addedDate]])</f>
        <v>81</v>
      </c>
    </row>
    <row r="202" spans="1:25" x14ac:dyDescent="0.25">
      <c r="A202" s="1">
        <v>45845</v>
      </c>
      <c r="B202" t="s">
        <v>758</v>
      </c>
      <c r="C202" t="s">
        <v>372</v>
      </c>
      <c r="D202" s="1">
        <v>45933</v>
      </c>
      <c r="E202" t="s">
        <v>580</v>
      </c>
      <c r="F202">
        <v>2</v>
      </c>
      <c r="G202" t="s">
        <v>759</v>
      </c>
      <c r="H202" t="s">
        <v>760</v>
      </c>
      <c r="I202">
        <v>224</v>
      </c>
      <c r="J202">
        <v>609</v>
      </c>
      <c r="K202">
        <v>0</v>
      </c>
      <c r="L202" t="s">
        <v>28</v>
      </c>
      <c r="M202">
        <v>3145000</v>
      </c>
      <c r="N202">
        <v>0</v>
      </c>
      <c r="O202" t="s">
        <v>103</v>
      </c>
      <c r="P202" t="s">
        <v>30</v>
      </c>
      <c r="Q202" t="s">
        <v>43</v>
      </c>
      <c r="R202" t="s">
        <v>372</v>
      </c>
      <c r="S202" t="s">
        <v>43</v>
      </c>
      <c r="V202">
        <v>14040.178571428571</v>
      </c>
      <c r="W202">
        <v>5164.2036124794749</v>
      </c>
      <c r="X202">
        <f ca="1">IF(ISNUMBER(properties[[#This Row],[archivedDate]]),properties[[#This Row],[archivedDate]]-properties[[#This Row],[addedDate]],TODAY()-properties[[#This Row],[addedDate]])</f>
        <v>88</v>
      </c>
      <c r="Y202">
        <f ca="1">IF(ISNUMBER(properties[[#This Row],[archivedDate]]),properties[[#This Row],[archivedDate]]-properties[[#This Row],[addedDate]],TODAY()-properties[[#This Row],[addedDate]])</f>
        <v>88</v>
      </c>
    </row>
    <row r="203" spans="1:25" x14ac:dyDescent="0.25">
      <c r="A203" s="1">
        <v>45847</v>
      </c>
      <c r="B203" t="s">
        <v>761</v>
      </c>
      <c r="C203" t="s">
        <v>120</v>
      </c>
      <c r="D203" s="1">
        <v>45855</v>
      </c>
      <c r="E203" t="s">
        <v>762</v>
      </c>
      <c r="F203">
        <v>0</v>
      </c>
      <c r="G203" t="s">
        <v>763</v>
      </c>
      <c r="H203" t="s">
        <v>764</v>
      </c>
      <c r="I203">
        <v>228</v>
      </c>
      <c r="J203">
        <v>646</v>
      </c>
      <c r="K203">
        <v>0</v>
      </c>
      <c r="L203" t="s">
        <v>28</v>
      </c>
      <c r="M203">
        <v>3150000</v>
      </c>
      <c r="N203">
        <v>0</v>
      </c>
      <c r="O203" t="s">
        <v>103</v>
      </c>
      <c r="P203" t="s">
        <v>30</v>
      </c>
      <c r="Q203" t="s">
        <v>43</v>
      </c>
      <c r="R203" t="s">
        <v>124</v>
      </c>
      <c r="S203" t="s">
        <v>765</v>
      </c>
      <c r="V203">
        <v>13815.78947368421</v>
      </c>
      <c r="W203">
        <v>4876.1609907120746</v>
      </c>
      <c r="X203">
        <f ca="1">IF(ISNUMBER(properties[[#This Row],[archivedDate]]),properties[[#This Row],[archivedDate]]-properties[[#This Row],[addedDate]],TODAY()-properties[[#This Row],[addedDate]])</f>
        <v>8</v>
      </c>
      <c r="Y203">
        <f ca="1">IF(ISNUMBER(properties[[#This Row],[archivedDate]]),properties[[#This Row],[archivedDate]]-properties[[#This Row],[addedDate]],TODAY()-properties[[#This Row],[addedDate]])</f>
        <v>8</v>
      </c>
    </row>
    <row r="204" spans="1:25" x14ac:dyDescent="0.25">
      <c r="A204" s="1">
        <v>45847</v>
      </c>
      <c r="B204" t="s">
        <v>766</v>
      </c>
      <c r="C204" t="s">
        <v>372</v>
      </c>
      <c r="D204" s="1">
        <v>45898</v>
      </c>
      <c r="E204" t="s">
        <v>34</v>
      </c>
      <c r="F204">
        <v>1</v>
      </c>
      <c r="G204" t="s">
        <v>767</v>
      </c>
      <c r="H204" t="s">
        <v>768</v>
      </c>
      <c r="I204">
        <v>100</v>
      </c>
      <c r="J204">
        <v>254</v>
      </c>
      <c r="K204">
        <v>4600000</v>
      </c>
      <c r="L204" t="s">
        <v>28</v>
      </c>
      <c r="M204">
        <v>4800000</v>
      </c>
      <c r="N204">
        <v>0</v>
      </c>
      <c r="O204" t="s">
        <v>103</v>
      </c>
      <c r="P204" t="s">
        <v>30</v>
      </c>
      <c r="Q204" t="s">
        <v>43</v>
      </c>
      <c r="R204" t="s">
        <v>372</v>
      </c>
      <c r="S204" t="s">
        <v>43</v>
      </c>
      <c r="T204">
        <v>46000</v>
      </c>
      <c r="U204">
        <v>18110.236220472441</v>
      </c>
      <c r="V204">
        <v>48000</v>
      </c>
      <c r="W204">
        <v>18897.63779527559</v>
      </c>
      <c r="X204">
        <f ca="1">IF(ISNUMBER(properties[[#This Row],[archivedDate]]),properties[[#This Row],[archivedDate]]-properties[[#This Row],[addedDate]],TODAY()-properties[[#This Row],[addedDate]])</f>
        <v>51</v>
      </c>
      <c r="Y204">
        <f ca="1">IF(ISNUMBER(properties[[#This Row],[archivedDate]]),properties[[#This Row],[archivedDate]]-properties[[#This Row],[addedDate]],TODAY()-properties[[#This Row],[addedDate]])</f>
        <v>51</v>
      </c>
    </row>
    <row r="205" spans="1:25" x14ac:dyDescent="0.25">
      <c r="A205" s="1">
        <v>45847</v>
      </c>
      <c r="B205" t="s">
        <v>769</v>
      </c>
      <c r="C205" t="s">
        <v>372</v>
      </c>
      <c r="D205" s="1">
        <v>45887</v>
      </c>
      <c r="E205" t="s">
        <v>505</v>
      </c>
      <c r="F205">
        <v>0</v>
      </c>
      <c r="G205" t="s">
        <v>770</v>
      </c>
      <c r="H205" t="s">
        <v>771</v>
      </c>
      <c r="I205">
        <v>0</v>
      </c>
      <c r="J205">
        <v>7387</v>
      </c>
      <c r="K205">
        <v>800000</v>
      </c>
      <c r="L205" t="s">
        <v>28</v>
      </c>
      <c r="M205">
        <v>675000</v>
      </c>
      <c r="N205">
        <v>0</v>
      </c>
      <c r="O205" t="s">
        <v>103</v>
      </c>
      <c r="P205" t="s">
        <v>194</v>
      </c>
      <c r="Q205" t="s">
        <v>43</v>
      </c>
      <c r="R205" t="s">
        <v>372</v>
      </c>
      <c r="S205" t="s">
        <v>43</v>
      </c>
      <c r="U205">
        <v>108.29836198727494</v>
      </c>
      <c r="W205">
        <v>91.376742926763228</v>
      </c>
      <c r="X205">
        <f ca="1">IF(ISNUMBER(properties[[#This Row],[archivedDate]]),properties[[#This Row],[archivedDate]]-properties[[#This Row],[addedDate]],TODAY()-properties[[#This Row],[addedDate]])</f>
        <v>40</v>
      </c>
      <c r="Y205">
        <f ca="1">IF(ISNUMBER(properties[[#This Row],[archivedDate]]),properties[[#This Row],[archivedDate]]-properties[[#This Row],[addedDate]],TODAY()-properties[[#This Row],[addedDate]])</f>
        <v>40</v>
      </c>
    </row>
    <row r="206" spans="1:25" x14ac:dyDescent="0.25">
      <c r="A206" s="1">
        <v>45852</v>
      </c>
      <c r="B206" t="s">
        <v>772</v>
      </c>
      <c r="C206" t="s">
        <v>372</v>
      </c>
      <c r="D206" s="1">
        <v>45870</v>
      </c>
      <c r="E206" t="s">
        <v>90</v>
      </c>
      <c r="F206">
        <v>2</v>
      </c>
      <c r="G206" t="s">
        <v>773</v>
      </c>
      <c r="H206" t="s">
        <v>774</v>
      </c>
      <c r="I206">
        <v>131</v>
      </c>
      <c r="J206">
        <v>276</v>
      </c>
      <c r="K206">
        <v>2300000</v>
      </c>
      <c r="L206" t="s">
        <v>28</v>
      </c>
      <c r="M206">
        <v>2395000</v>
      </c>
      <c r="N206">
        <v>0</v>
      </c>
      <c r="O206" t="s">
        <v>103</v>
      </c>
      <c r="P206" t="s">
        <v>30</v>
      </c>
      <c r="Q206" t="s">
        <v>43</v>
      </c>
      <c r="R206" t="s">
        <v>372</v>
      </c>
      <c r="S206" t="s">
        <v>43</v>
      </c>
      <c r="T206">
        <v>17557.251908396946</v>
      </c>
      <c r="U206">
        <v>8333.3333333333339</v>
      </c>
      <c r="V206">
        <v>18282.442748091602</v>
      </c>
      <c r="W206">
        <v>8677.536231884058</v>
      </c>
      <c r="X206">
        <f ca="1">IF(ISNUMBER(properties[[#This Row],[archivedDate]]),properties[[#This Row],[archivedDate]]-properties[[#This Row],[addedDate]],TODAY()-properties[[#This Row],[addedDate]])</f>
        <v>18</v>
      </c>
      <c r="Y206">
        <f ca="1">IF(ISNUMBER(properties[[#This Row],[archivedDate]]),properties[[#This Row],[archivedDate]]-properties[[#This Row],[addedDate]],TODAY()-properties[[#This Row],[addedDate]])</f>
        <v>18</v>
      </c>
    </row>
    <row r="207" spans="1:25" x14ac:dyDescent="0.25">
      <c r="A207" s="1">
        <v>45854</v>
      </c>
      <c r="B207" t="s">
        <v>775</v>
      </c>
      <c r="C207" t="s">
        <v>120</v>
      </c>
      <c r="D207" s="1">
        <v>45925</v>
      </c>
      <c r="E207" t="s">
        <v>34</v>
      </c>
      <c r="F207">
        <v>0</v>
      </c>
      <c r="G207" t="s">
        <v>776</v>
      </c>
      <c r="H207" t="s">
        <v>777</v>
      </c>
      <c r="I207">
        <v>357</v>
      </c>
      <c r="J207">
        <v>595</v>
      </c>
      <c r="K207">
        <v>4400000</v>
      </c>
      <c r="L207" t="s">
        <v>28</v>
      </c>
      <c r="M207">
        <v>2900000</v>
      </c>
      <c r="N207">
        <v>0</v>
      </c>
      <c r="O207" t="s">
        <v>103</v>
      </c>
      <c r="P207" t="s">
        <v>30</v>
      </c>
      <c r="Q207" t="s">
        <v>43</v>
      </c>
      <c r="R207" t="s">
        <v>124</v>
      </c>
      <c r="S207" t="s">
        <v>778</v>
      </c>
      <c r="T207">
        <v>12324.929971988795</v>
      </c>
      <c r="U207">
        <v>7394.957983193277</v>
      </c>
      <c r="V207">
        <v>8123.2492997198879</v>
      </c>
      <c r="W207">
        <v>4873.9495798319331</v>
      </c>
      <c r="X207">
        <f ca="1">IF(ISNUMBER(properties[[#This Row],[archivedDate]]),properties[[#This Row],[archivedDate]]-properties[[#This Row],[addedDate]],TODAY()-properties[[#This Row],[addedDate]])</f>
        <v>71</v>
      </c>
      <c r="Y207">
        <f ca="1">IF(ISNUMBER(properties[[#This Row],[archivedDate]]),properties[[#This Row],[archivedDate]]-properties[[#This Row],[addedDate]],TODAY()-properties[[#This Row],[addedDate]])</f>
        <v>71</v>
      </c>
    </row>
    <row r="208" spans="1:25" x14ac:dyDescent="0.25">
      <c r="A208" s="1">
        <v>45856</v>
      </c>
      <c r="B208" t="s">
        <v>761</v>
      </c>
      <c r="C208" t="s">
        <v>120</v>
      </c>
      <c r="D208" s="1">
        <v>46063</v>
      </c>
      <c r="E208" t="s">
        <v>762</v>
      </c>
      <c r="F208">
        <v>0</v>
      </c>
      <c r="G208" t="s">
        <v>779</v>
      </c>
      <c r="H208" t="s">
        <v>764</v>
      </c>
      <c r="I208">
        <v>228</v>
      </c>
      <c r="J208">
        <v>646</v>
      </c>
      <c r="K208">
        <v>0</v>
      </c>
      <c r="L208" t="s">
        <v>28</v>
      </c>
      <c r="M208">
        <v>3150000</v>
      </c>
      <c r="N208">
        <v>0</v>
      </c>
      <c r="O208" t="s">
        <v>103</v>
      </c>
      <c r="P208" t="s">
        <v>30</v>
      </c>
      <c r="Q208" t="s">
        <v>43</v>
      </c>
      <c r="R208" t="s">
        <v>124</v>
      </c>
      <c r="S208" t="s">
        <v>765</v>
      </c>
      <c r="V208">
        <v>13815.78947368421</v>
      </c>
      <c r="W208">
        <v>4876.1609907120746</v>
      </c>
      <c r="X208">
        <f ca="1">IF(ISNUMBER(properties[[#This Row],[archivedDate]]),properties[[#This Row],[archivedDate]]-properties[[#This Row],[addedDate]],TODAY()-properties[[#This Row],[addedDate]])</f>
        <v>207</v>
      </c>
      <c r="Y208">
        <f ca="1">IF(ISNUMBER(properties[[#This Row],[archivedDate]]),properties[[#This Row],[archivedDate]]-properties[[#This Row],[addedDate]],TODAY()-properties[[#This Row],[addedDate]])</f>
        <v>207</v>
      </c>
    </row>
    <row r="209" spans="1:25" x14ac:dyDescent="0.25">
      <c r="A209" s="1">
        <v>45856</v>
      </c>
      <c r="B209" t="s">
        <v>780</v>
      </c>
      <c r="C209" t="s">
        <v>372</v>
      </c>
      <c r="D209" s="1">
        <v>45922</v>
      </c>
      <c r="E209" t="s">
        <v>405</v>
      </c>
      <c r="F209">
        <v>2</v>
      </c>
      <c r="G209" t="s">
        <v>781</v>
      </c>
      <c r="H209" t="s">
        <v>782</v>
      </c>
      <c r="I209">
        <v>166</v>
      </c>
      <c r="J209">
        <v>538</v>
      </c>
      <c r="K209">
        <v>2850000</v>
      </c>
      <c r="L209" t="s">
        <v>28</v>
      </c>
      <c r="M209">
        <v>2395000</v>
      </c>
      <c r="N209">
        <v>0</v>
      </c>
      <c r="O209" t="s">
        <v>103</v>
      </c>
      <c r="P209" t="s">
        <v>30</v>
      </c>
      <c r="Q209" t="s">
        <v>43</v>
      </c>
      <c r="R209" t="s">
        <v>372</v>
      </c>
      <c r="S209" t="s">
        <v>43</v>
      </c>
      <c r="T209">
        <v>17168.674698795181</v>
      </c>
      <c r="U209">
        <v>5297.3977695167287</v>
      </c>
      <c r="V209">
        <v>14427.710843373494</v>
      </c>
      <c r="W209">
        <v>4451.6728624535317</v>
      </c>
      <c r="X209">
        <f ca="1">IF(ISNUMBER(properties[[#This Row],[archivedDate]]),properties[[#This Row],[archivedDate]]-properties[[#This Row],[addedDate]],TODAY()-properties[[#This Row],[addedDate]])</f>
        <v>66</v>
      </c>
      <c r="Y209">
        <f ca="1">IF(ISNUMBER(properties[[#This Row],[archivedDate]]),properties[[#This Row],[archivedDate]]-properties[[#This Row],[addedDate]],TODAY()-properties[[#This Row],[addedDate]])</f>
        <v>66</v>
      </c>
    </row>
    <row r="210" spans="1:25" x14ac:dyDescent="0.25">
      <c r="A210" s="1">
        <v>45859</v>
      </c>
      <c r="B210" t="s">
        <v>783</v>
      </c>
      <c r="C210" t="s">
        <v>120</v>
      </c>
      <c r="D210" s="1">
        <v>45925</v>
      </c>
      <c r="E210" t="s">
        <v>191</v>
      </c>
      <c r="F210">
        <v>0</v>
      </c>
      <c r="G210" t="s">
        <v>784</v>
      </c>
      <c r="H210" t="s">
        <v>785</v>
      </c>
      <c r="I210">
        <v>53</v>
      </c>
      <c r="J210">
        <v>165</v>
      </c>
      <c r="K210">
        <v>1795000</v>
      </c>
      <c r="L210" t="s">
        <v>28</v>
      </c>
      <c r="M210">
        <v>1795000</v>
      </c>
      <c r="N210">
        <v>0</v>
      </c>
      <c r="O210" t="s">
        <v>103</v>
      </c>
      <c r="P210" t="s">
        <v>30</v>
      </c>
      <c r="Q210" t="s">
        <v>43</v>
      </c>
      <c r="R210" t="s">
        <v>124</v>
      </c>
      <c r="S210" t="s">
        <v>43</v>
      </c>
      <c r="T210">
        <v>33867.92452830189</v>
      </c>
      <c r="U210">
        <v>10878.787878787878</v>
      </c>
      <c r="V210">
        <v>33867.92452830189</v>
      </c>
      <c r="W210">
        <v>10878.787878787878</v>
      </c>
      <c r="X210">
        <f ca="1">IF(ISNUMBER(properties[[#This Row],[archivedDate]]),properties[[#This Row],[archivedDate]]-properties[[#This Row],[addedDate]],TODAY()-properties[[#This Row],[addedDate]])</f>
        <v>66</v>
      </c>
      <c r="Y210">
        <f ca="1">IF(ISNUMBER(properties[[#This Row],[archivedDate]]),properties[[#This Row],[archivedDate]]-properties[[#This Row],[addedDate]],TODAY()-properties[[#This Row],[addedDate]])</f>
        <v>66</v>
      </c>
    </row>
    <row r="211" spans="1:25" x14ac:dyDescent="0.25">
      <c r="A211" s="1">
        <v>45860</v>
      </c>
      <c r="B211" t="s">
        <v>786</v>
      </c>
      <c r="C211" t="s">
        <v>120</v>
      </c>
      <c r="D211" s="1">
        <v>45944</v>
      </c>
      <c r="E211" t="s">
        <v>346</v>
      </c>
      <c r="F211">
        <v>0</v>
      </c>
      <c r="G211" t="s">
        <v>787</v>
      </c>
      <c r="H211" t="s">
        <v>788</v>
      </c>
      <c r="I211">
        <v>3981</v>
      </c>
      <c r="J211">
        <v>3981</v>
      </c>
      <c r="K211">
        <v>325000</v>
      </c>
      <c r="L211" t="s">
        <v>28</v>
      </c>
      <c r="M211">
        <v>175000</v>
      </c>
      <c r="N211">
        <v>0</v>
      </c>
      <c r="O211" t="s">
        <v>103</v>
      </c>
      <c r="P211" t="s">
        <v>194</v>
      </c>
      <c r="Q211" t="s">
        <v>43</v>
      </c>
      <c r="R211" t="s">
        <v>124</v>
      </c>
      <c r="S211" t="s">
        <v>43</v>
      </c>
      <c r="T211">
        <v>81.637779452398888</v>
      </c>
      <c r="U211">
        <v>81.637779452398888</v>
      </c>
      <c r="V211">
        <v>43.958804320522482</v>
      </c>
      <c r="W211">
        <v>43.958804320522482</v>
      </c>
      <c r="X211">
        <f ca="1">IF(ISNUMBER(properties[[#This Row],[archivedDate]]),properties[[#This Row],[archivedDate]]-properties[[#This Row],[addedDate]],TODAY()-properties[[#This Row],[addedDate]])</f>
        <v>84</v>
      </c>
      <c r="Y211">
        <f ca="1">IF(ISNUMBER(properties[[#This Row],[archivedDate]]),properties[[#This Row],[archivedDate]]-properties[[#This Row],[addedDate]],TODAY()-properties[[#This Row],[addedDate]])</f>
        <v>84</v>
      </c>
    </row>
    <row r="212" spans="1:25" x14ac:dyDescent="0.25">
      <c r="A212" s="1">
        <v>45860</v>
      </c>
      <c r="B212" t="s">
        <v>789</v>
      </c>
      <c r="C212" t="s">
        <v>372</v>
      </c>
      <c r="D212" s="1"/>
      <c r="E212" t="s">
        <v>439</v>
      </c>
      <c r="F212">
        <v>0</v>
      </c>
      <c r="G212" t="s">
        <v>790</v>
      </c>
      <c r="H212" t="s">
        <v>791</v>
      </c>
      <c r="I212">
        <v>0</v>
      </c>
      <c r="J212">
        <v>709</v>
      </c>
      <c r="K212">
        <v>0</v>
      </c>
      <c r="L212" t="s">
        <v>28</v>
      </c>
      <c r="M212">
        <v>395000</v>
      </c>
      <c r="N212">
        <v>0</v>
      </c>
      <c r="O212" t="s">
        <v>29</v>
      </c>
      <c r="P212" t="s">
        <v>98</v>
      </c>
      <c r="Q212" t="s">
        <v>43</v>
      </c>
      <c r="R212" t="s">
        <v>372</v>
      </c>
      <c r="S212" t="s">
        <v>43</v>
      </c>
      <c r="W212">
        <v>557.1227080394923</v>
      </c>
      <c r="X212">
        <f ca="1">IF(ISNUMBER(properties[[#This Row],[archivedDate]]),properties[[#This Row],[archivedDate]]-properties[[#This Row],[addedDate]],TODAY()-properties[[#This Row],[addedDate]])</f>
        <v>259</v>
      </c>
      <c r="Y212">
        <f ca="1">IF(ISNUMBER(properties[[#This Row],[archivedDate]]),properties[[#This Row],[archivedDate]]-properties[[#This Row],[addedDate]],TODAY()-properties[[#This Row],[addedDate]])</f>
        <v>259</v>
      </c>
    </row>
    <row r="213" spans="1:25" x14ac:dyDescent="0.25">
      <c r="A213" s="1">
        <v>45861</v>
      </c>
      <c r="B213" t="s">
        <v>792</v>
      </c>
      <c r="C213" t="s">
        <v>120</v>
      </c>
      <c r="D213" s="1">
        <v>45861</v>
      </c>
      <c r="E213" t="s">
        <v>176</v>
      </c>
      <c r="F213">
        <v>0</v>
      </c>
      <c r="G213" t="s">
        <v>793</v>
      </c>
      <c r="H213" t="s">
        <v>794</v>
      </c>
      <c r="I213">
        <v>770</v>
      </c>
      <c r="J213">
        <v>30141331</v>
      </c>
      <c r="K213">
        <v>0</v>
      </c>
      <c r="L213" t="s">
        <v>28</v>
      </c>
      <c r="M213">
        <v>15000000</v>
      </c>
      <c r="N213">
        <v>0</v>
      </c>
      <c r="O213" t="s">
        <v>103</v>
      </c>
      <c r="P213" t="s">
        <v>185</v>
      </c>
      <c r="Q213" t="s">
        <v>43</v>
      </c>
      <c r="R213" t="s">
        <v>124</v>
      </c>
      <c r="S213" t="s">
        <v>43</v>
      </c>
      <c r="V213">
        <v>19480.519480519481</v>
      </c>
      <c r="W213">
        <v>0.49765552821804715</v>
      </c>
      <c r="X213">
        <f ca="1">IF(ISNUMBER(properties[[#This Row],[archivedDate]]),properties[[#This Row],[archivedDate]]-properties[[#This Row],[addedDate]],TODAY()-properties[[#This Row],[addedDate]])</f>
        <v>0</v>
      </c>
      <c r="Y213">
        <f ca="1">IF(ISNUMBER(properties[[#This Row],[archivedDate]]),properties[[#This Row],[archivedDate]]-properties[[#This Row],[addedDate]],TODAY()-properties[[#This Row],[addedDate]])</f>
        <v>0</v>
      </c>
    </row>
    <row r="214" spans="1:25" x14ac:dyDescent="0.25">
      <c r="A214" s="1">
        <v>45861</v>
      </c>
      <c r="B214" t="s">
        <v>795</v>
      </c>
      <c r="C214" t="s">
        <v>120</v>
      </c>
      <c r="D214" s="1">
        <v>46077</v>
      </c>
      <c r="E214" t="s">
        <v>196</v>
      </c>
      <c r="F214">
        <v>0</v>
      </c>
      <c r="G214" t="s">
        <v>796</v>
      </c>
      <c r="H214" t="s">
        <v>797</v>
      </c>
      <c r="I214">
        <v>2057</v>
      </c>
      <c r="J214">
        <v>2057</v>
      </c>
      <c r="K214">
        <v>0</v>
      </c>
      <c r="L214" t="s">
        <v>28</v>
      </c>
      <c r="M214">
        <v>450000</v>
      </c>
      <c r="N214">
        <v>0</v>
      </c>
      <c r="O214" t="s">
        <v>103</v>
      </c>
      <c r="P214" t="s">
        <v>194</v>
      </c>
      <c r="Q214" t="s">
        <v>43</v>
      </c>
      <c r="R214" t="s">
        <v>124</v>
      </c>
      <c r="S214" t="s">
        <v>43</v>
      </c>
      <c r="V214">
        <v>218.76519202722412</v>
      </c>
      <c r="W214">
        <v>218.76519202722412</v>
      </c>
      <c r="X214">
        <f ca="1">IF(ISNUMBER(properties[[#This Row],[archivedDate]]),properties[[#This Row],[archivedDate]]-properties[[#This Row],[addedDate]],TODAY()-properties[[#This Row],[addedDate]])</f>
        <v>216</v>
      </c>
      <c r="Y214">
        <f ca="1">IF(ISNUMBER(properties[[#This Row],[archivedDate]]),properties[[#This Row],[archivedDate]]-properties[[#This Row],[addedDate]],TODAY()-properties[[#This Row],[addedDate]])</f>
        <v>216</v>
      </c>
    </row>
    <row r="215" spans="1:25" x14ac:dyDescent="0.25">
      <c r="A215" s="1">
        <v>45861</v>
      </c>
      <c r="B215" t="s">
        <v>798</v>
      </c>
      <c r="C215" t="s">
        <v>372</v>
      </c>
      <c r="D215" s="1">
        <v>45931</v>
      </c>
      <c r="E215" t="s">
        <v>52</v>
      </c>
      <c r="F215">
        <v>2</v>
      </c>
      <c r="G215" t="s">
        <v>799</v>
      </c>
      <c r="H215" t="s">
        <v>800</v>
      </c>
      <c r="I215">
        <v>269</v>
      </c>
      <c r="J215">
        <v>894</v>
      </c>
      <c r="K215">
        <v>2100000</v>
      </c>
      <c r="L215" t="s">
        <v>28</v>
      </c>
      <c r="M215">
        <v>2700000</v>
      </c>
      <c r="N215">
        <v>0</v>
      </c>
      <c r="O215" t="s">
        <v>103</v>
      </c>
      <c r="P215" t="s">
        <v>30</v>
      </c>
      <c r="Q215" t="s">
        <v>43</v>
      </c>
      <c r="R215" t="s">
        <v>372</v>
      </c>
      <c r="S215" t="s">
        <v>43</v>
      </c>
      <c r="T215">
        <v>7806.6914498141268</v>
      </c>
      <c r="U215">
        <v>2348.9932885906042</v>
      </c>
      <c r="V215">
        <v>10037.174721189591</v>
      </c>
      <c r="W215">
        <v>3020.1342281879197</v>
      </c>
      <c r="X215">
        <f ca="1">IF(ISNUMBER(properties[[#This Row],[archivedDate]]),properties[[#This Row],[archivedDate]]-properties[[#This Row],[addedDate]],TODAY()-properties[[#This Row],[addedDate]])</f>
        <v>70</v>
      </c>
      <c r="Y215">
        <f ca="1">IF(ISNUMBER(properties[[#This Row],[archivedDate]]),properties[[#This Row],[archivedDate]]-properties[[#This Row],[addedDate]],TODAY()-properties[[#This Row],[addedDate]])</f>
        <v>70</v>
      </c>
    </row>
    <row r="216" spans="1:25" x14ac:dyDescent="0.25">
      <c r="A216" s="1">
        <v>45862</v>
      </c>
      <c r="B216" t="s">
        <v>801</v>
      </c>
      <c r="C216" t="s">
        <v>120</v>
      </c>
      <c r="D216" s="1">
        <v>46106</v>
      </c>
      <c r="E216" t="s">
        <v>176</v>
      </c>
      <c r="F216">
        <v>0</v>
      </c>
      <c r="G216" t="s">
        <v>802</v>
      </c>
      <c r="H216" t="s">
        <v>794</v>
      </c>
      <c r="I216">
        <v>770</v>
      </c>
      <c r="J216">
        <v>3014</v>
      </c>
      <c r="K216">
        <v>0</v>
      </c>
      <c r="L216" t="s">
        <v>28</v>
      </c>
      <c r="M216">
        <v>15000000</v>
      </c>
      <c r="N216">
        <v>0</v>
      </c>
      <c r="O216" t="s">
        <v>103</v>
      </c>
      <c r="P216" t="s">
        <v>185</v>
      </c>
      <c r="Q216" t="s">
        <v>43</v>
      </c>
      <c r="R216" t="s">
        <v>124</v>
      </c>
      <c r="S216" t="s">
        <v>43</v>
      </c>
      <c r="V216">
        <v>19480.519480519481</v>
      </c>
      <c r="W216">
        <v>4976.7750497677507</v>
      </c>
      <c r="X216">
        <f ca="1">IF(ISNUMBER(properties[[#This Row],[archivedDate]]),properties[[#This Row],[archivedDate]]-properties[[#This Row],[addedDate]],TODAY()-properties[[#This Row],[addedDate]])</f>
        <v>244</v>
      </c>
      <c r="Y216">
        <f ca="1">IF(ISNUMBER(properties[[#This Row],[archivedDate]]),properties[[#This Row],[archivedDate]]-properties[[#This Row],[addedDate]],TODAY()-properties[[#This Row],[addedDate]])</f>
        <v>244</v>
      </c>
    </row>
    <row r="217" spans="1:25" x14ac:dyDescent="0.25">
      <c r="A217" s="1">
        <v>45862</v>
      </c>
      <c r="B217" t="s">
        <v>803</v>
      </c>
      <c r="C217" t="s">
        <v>372</v>
      </c>
      <c r="D217" s="1">
        <v>45884</v>
      </c>
      <c r="E217" t="s">
        <v>200</v>
      </c>
      <c r="F217">
        <v>2</v>
      </c>
      <c r="G217" t="s">
        <v>804</v>
      </c>
      <c r="H217" t="s">
        <v>805</v>
      </c>
      <c r="I217">
        <v>228</v>
      </c>
      <c r="J217">
        <v>308</v>
      </c>
      <c r="K217">
        <v>1495000</v>
      </c>
      <c r="L217" t="s">
        <v>28</v>
      </c>
      <c r="M217">
        <v>1495000</v>
      </c>
      <c r="N217">
        <v>0</v>
      </c>
      <c r="O217" t="s">
        <v>103</v>
      </c>
      <c r="P217" t="s">
        <v>30</v>
      </c>
      <c r="Q217" t="s">
        <v>43</v>
      </c>
      <c r="R217" t="s">
        <v>372</v>
      </c>
      <c r="S217" t="s">
        <v>43</v>
      </c>
      <c r="T217">
        <v>6557.0175438596489</v>
      </c>
      <c r="U217">
        <v>4853.8961038961043</v>
      </c>
      <c r="V217">
        <v>6557.0175438596489</v>
      </c>
      <c r="W217">
        <v>4853.8961038961043</v>
      </c>
      <c r="X217">
        <f ca="1">IF(ISNUMBER(properties[[#This Row],[archivedDate]]),properties[[#This Row],[archivedDate]]-properties[[#This Row],[addedDate]],TODAY()-properties[[#This Row],[addedDate]])</f>
        <v>22</v>
      </c>
      <c r="Y217">
        <f ca="1">IF(ISNUMBER(properties[[#This Row],[archivedDate]]),properties[[#This Row],[archivedDate]]-properties[[#This Row],[addedDate]],TODAY()-properties[[#This Row],[addedDate]])</f>
        <v>22</v>
      </c>
    </row>
    <row r="218" spans="1:25" x14ac:dyDescent="0.25">
      <c r="A218" s="1">
        <v>45863</v>
      </c>
      <c r="B218" t="s">
        <v>806</v>
      </c>
      <c r="C218" t="s">
        <v>372</v>
      </c>
      <c r="D218" s="1">
        <v>45901</v>
      </c>
      <c r="E218" t="s">
        <v>316</v>
      </c>
      <c r="F218">
        <v>2</v>
      </c>
      <c r="G218" t="s">
        <v>807</v>
      </c>
      <c r="H218" t="s">
        <v>808</v>
      </c>
      <c r="I218">
        <v>259</v>
      </c>
      <c r="J218">
        <v>478</v>
      </c>
      <c r="K218">
        <v>3425000</v>
      </c>
      <c r="L218" t="s">
        <v>28</v>
      </c>
      <c r="M218">
        <v>3395000</v>
      </c>
      <c r="N218">
        <v>0</v>
      </c>
      <c r="O218" t="s">
        <v>103</v>
      </c>
      <c r="P218" t="s">
        <v>30</v>
      </c>
      <c r="Q218" t="s">
        <v>43</v>
      </c>
      <c r="R218" t="s">
        <v>372</v>
      </c>
      <c r="S218" t="s">
        <v>43</v>
      </c>
      <c r="T218">
        <v>13223.938223938225</v>
      </c>
      <c r="U218">
        <v>7165.271966527197</v>
      </c>
      <c r="V218">
        <v>13108.108108108108</v>
      </c>
      <c r="W218">
        <v>7102.5104602510464</v>
      </c>
      <c r="X218">
        <f ca="1">IF(ISNUMBER(properties[[#This Row],[archivedDate]]),properties[[#This Row],[archivedDate]]-properties[[#This Row],[addedDate]],TODAY()-properties[[#This Row],[addedDate]])</f>
        <v>38</v>
      </c>
      <c r="Y218">
        <f ca="1">IF(ISNUMBER(properties[[#This Row],[archivedDate]]),properties[[#This Row],[archivedDate]]-properties[[#This Row],[addedDate]],TODAY()-properties[[#This Row],[addedDate]])</f>
        <v>38</v>
      </c>
    </row>
    <row r="219" spans="1:25" x14ac:dyDescent="0.25">
      <c r="A219" s="1">
        <v>45873</v>
      </c>
      <c r="B219" t="s">
        <v>809</v>
      </c>
      <c r="C219" t="s">
        <v>120</v>
      </c>
      <c r="D219" s="1">
        <v>45925</v>
      </c>
      <c r="E219" t="s">
        <v>34</v>
      </c>
      <c r="F219">
        <v>0</v>
      </c>
      <c r="G219" t="s">
        <v>810</v>
      </c>
      <c r="H219" t="s">
        <v>811</v>
      </c>
      <c r="I219">
        <v>145</v>
      </c>
      <c r="J219">
        <v>106</v>
      </c>
      <c r="K219">
        <v>4200000</v>
      </c>
      <c r="L219" t="s">
        <v>28</v>
      </c>
      <c r="M219">
        <v>3500000</v>
      </c>
      <c r="N219">
        <v>0</v>
      </c>
      <c r="O219" t="s">
        <v>103</v>
      </c>
      <c r="P219" t="s">
        <v>30</v>
      </c>
      <c r="Q219" t="s">
        <v>43</v>
      </c>
      <c r="R219" t="s">
        <v>124</v>
      </c>
      <c r="S219" t="s">
        <v>812</v>
      </c>
      <c r="T219">
        <v>28965.517241379312</v>
      </c>
      <c r="U219">
        <v>39622.641509433961</v>
      </c>
      <c r="V219">
        <v>24137.931034482757</v>
      </c>
      <c r="W219">
        <v>33018.867924528298</v>
      </c>
      <c r="X219">
        <f ca="1">IF(ISNUMBER(properties[[#This Row],[archivedDate]]),properties[[#This Row],[archivedDate]]-properties[[#This Row],[addedDate]],TODAY()-properties[[#This Row],[addedDate]])</f>
        <v>52</v>
      </c>
      <c r="Y219">
        <f ca="1">IF(ISNUMBER(properties[[#This Row],[archivedDate]]),properties[[#This Row],[archivedDate]]-properties[[#This Row],[addedDate]],TODAY()-properties[[#This Row],[addedDate]])</f>
        <v>52</v>
      </c>
    </row>
    <row r="220" spans="1:25" x14ac:dyDescent="0.25">
      <c r="A220" s="1">
        <v>45873</v>
      </c>
      <c r="B220" t="s">
        <v>813</v>
      </c>
      <c r="C220" t="s">
        <v>372</v>
      </c>
      <c r="D220" s="1">
        <v>45996</v>
      </c>
      <c r="E220" t="s">
        <v>505</v>
      </c>
      <c r="F220">
        <v>1</v>
      </c>
      <c r="G220" t="s">
        <v>814</v>
      </c>
      <c r="H220" t="s">
        <v>815</v>
      </c>
      <c r="I220">
        <v>177</v>
      </c>
      <c r="J220">
        <v>1228</v>
      </c>
      <c r="K220">
        <v>4000000</v>
      </c>
      <c r="L220" t="s">
        <v>28</v>
      </c>
      <c r="M220">
        <v>4495000</v>
      </c>
      <c r="N220">
        <v>0</v>
      </c>
      <c r="O220" t="s">
        <v>103</v>
      </c>
      <c r="P220" t="s">
        <v>30</v>
      </c>
      <c r="Q220" t="s">
        <v>43</v>
      </c>
      <c r="R220" t="s">
        <v>372</v>
      </c>
      <c r="S220" t="s">
        <v>43</v>
      </c>
      <c r="T220">
        <v>22598.870056497177</v>
      </c>
      <c r="U220">
        <v>3257.328990228013</v>
      </c>
      <c r="V220">
        <v>25395.4802259887</v>
      </c>
      <c r="W220">
        <v>3660.4234527687295</v>
      </c>
      <c r="X220">
        <f ca="1">IF(ISNUMBER(properties[[#This Row],[archivedDate]]),properties[[#This Row],[archivedDate]]-properties[[#This Row],[addedDate]],TODAY()-properties[[#This Row],[addedDate]])</f>
        <v>123</v>
      </c>
      <c r="Y220">
        <f ca="1">IF(ISNUMBER(properties[[#This Row],[archivedDate]]),properties[[#This Row],[archivedDate]]-properties[[#This Row],[addedDate]],TODAY()-properties[[#This Row],[addedDate]])</f>
        <v>123</v>
      </c>
    </row>
    <row r="221" spans="1:25" x14ac:dyDescent="0.25">
      <c r="A221" s="1">
        <v>45873</v>
      </c>
      <c r="B221" t="s">
        <v>816</v>
      </c>
      <c r="C221" t="s">
        <v>372</v>
      </c>
      <c r="D221" s="1">
        <v>45905</v>
      </c>
      <c r="E221" t="s">
        <v>34</v>
      </c>
      <c r="F221">
        <v>2</v>
      </c>
      <c r="G221" t="s">
        <v>817</v>
      </c>
      <c r="H221" t="s">
        <v>818</v>
      </c>
      <c r="I221">
        <v>216</v>
      </c>
      <c r="J221">
        <v>385</v>
      </c>
      <c r="K221">
        <v>4750000</v>
      </c>
      <c r="L221" t="s">
        <v>28</v>
      </c>
      <c r="M221">
        <v>4300000</v>
      </c>
      <c r="N221">
        <v>0</v>
      </c>
      <c r="O221" t="s">
        <v>103</v>
      </c>
      <c r="P221" t="s">
        <v>30</v>
      </c>
      <c r="Q221" t="s">
        <v>43</v>
      </c>
      <c r="R221" t="s">
        <v>372</v>
      </c>
      <c r="S221" t="s">
        <v>43</v>
      </c>
      <c r="T221">
        <v>21990.740740740741</v>
      </c>
      <c r="U221">
        <v>12337.662337662337</v>
      </c>
      <c r="V221">
        <v>19907.407407407409</v>
      </c>
      <c r="W221">
        <v>11168.83116883117</v>
      </c>
      <c r="X221">
        <f ca="1">IF(ISNUMBER(properties[[#This Row],[archivedDate]]),properties[[#This Row],[archivedDate]]-properties[[#This Row],[addedDate]],TODAY()-properties[[#This Row],[addedDate]])</f>
        <v>32</v>
      </c>
      <c r="Y221">
        <f ca="1">IF(ISNUMBER(properties[[#This Row],[archivedDate]]),properties[[#This Row],[archivedDate]]-properties[[#This Row],[addedDate]],TODAY()-properties[[#This Row],[addedDate]])</f>
        <v>32</v>
      </c>
    </row>
    <row r="222" spans="1:25" x14ac:dyDescent="0.25">
      <c r="A222" s="1">
        <v>45874</v>
      </c>
      <c r="B222" t="s">
        <v>819</v>
      </c>
      <c r="C222" t="s">
        <v>372</v>
      </c>
      <c r="D222" s="1">
        <v>45897</v>
      </c>
      <c r="E222" t="s">
        <v>316</v>
      </c>
      <c r="F222">
        <v>3</v>
      </c>
      <c r="G222" t="s">
        <v>820</v>
      </c>
      <c r="H222" t="s">
        <v>821</v>
      </c>
      <c r="I222">
        <v>165</v>
      </c>
      <c r="J222">
        <v>202</v>
      </c>
      <c r="K222">
        <v>0</v>
      </c>
      <c r="L222" t="s">
        <v>28</v>
      </c>
      <c r="M222">
        <v>2995000</v>
      </c>
      <c r="N222">
        <v>0</v>
      </c>
      <c r="O222" t="s">
        <v>103</v>
      </c>
      <c r="P222" t="s">
        <v>30</v>
      </c>
      <c r="Q222" t="s">
        <v>43</v>
      </c>
      <c r="R222" t="s">
        <v>372</v>
      </c>
      <c r="S222" t="s">
        <v>43</v>
      </c>
      <c r="V222">
        <v>18151.515151515152</v>
      </c>
      <c r="W222">
        <v>14826.732673267326</v>
      </c>
      <c r="X222">
        <f ca="1">IF(ISNUMBER(properties[[#This Row],[archivedDate]]),properties[[#This Row],[archivedDate]]-properties[[#This Row],[addedDate]],TODAY()-properties[[#This Row],[addedDate]])</f>
        <v>23</v>
      </c>
      <c r="Y222">
        <f ca="1">IF(ISNUMBER(properties[[#This Row],[archivedDate]]),properties[[#This Row],[archivedDate]]-properties[[#This Row],[addedDate]],TODAY()-properties[[#This Row],[addedDate]])</f>
        <v>23</v>
      </c>
    </row>
    <row r="223" spans="1:25" x14ac:dyDescent="0.25">
      <c r="A223" s="1">
        <v>45875</v>
      </c>
      <c r="B223" t="s">
        <v>822</v>
      </c>
      <c r="C223" t="s">
        <v>372</v>
      </c>
      <c r="D223" s="1">
        <v>45922</v>
      </c>
      <c r="E223" t="s">
        <v>675</v>
      </c>
      <c r="F223">
        <v>3</v>
      </c>
      <c r="G223" t="s">
        <v>823</v>
      </c>
      <c r="H223" t="s">
        <v>824</v>
      </c>
      <c r="I223">
        <v>134</v>
      </c>
      <c r="J223">
        <v>350</v>
      </c>
      <c r="K223">
        <v>2100000</v>
      </c>
      <c r="L223" t="s">
        <v>28</v>
      </c>
      <c r="M223">
        <v>2100000</v>
      </c>
      <c r="N223">
        <v>0</v>
      </c>
      <c r="O223" t="s">
        <v>103</v>
      </c>
      <c r="P223" t="s">
        <v>30</v>
      </c>
      <c r="Q223" t="s">
        <v>43</v>
      </c>
      <c r="R223" t="s">
        <v>372</v>
      </c>
      <c r="S223" t="s">
        <v>43</v>
      </c>
      <c r="T223">
        <v>15671.641791044776</v>
      </c>
      <c r="U223">
        <v>6000</v>
      </c>
      <c r="V223">
        <v>15671.641791044776</v>
      </c>
      <c r="W223">
        <v>6000</v>
      </c>
      <c r="X223">
        <f ca="1">IF(ISNUMBER(properties[[#This Row],[archivedDate]]),properties[[#This Row],[archivedDate]]-properties[[#This Row],[addedDate]],TODAY()-properties[[#This Row],[addedDate]])</f>
        <v>47</v>
      </c>
      <c r="Y223">
        <f ca="1">IF(ISNUMBER(properties[[#This Row],[archivedDate]]),properties[[#This Row],[archivedDate]]-properties[[#This Row],[addedDate]],TODAY()-properties[[#This Row],[addedDate]])</f>
        <v>47</v>
      </c>
    </row>
    <row r="224" spans="1:25" x14ac:dyDescent="0.25">
      <c r="A224" s="1">
        <v>45880</v>
      </c>
      <c r="B224" t="s">
        <v>825</v>
      </c>
      <c r="C224" t="s">
        <v>372</v>
      </c>
      <c r="D224" s="1">
        <v>45905</v>
      </c>
      <c r="E224" t="s">
        <v>82</v>
      </c>
      <c r="F224">
        <v>2</v>
      </c>
      <c r="G224" t="s">
        <v>826</v>
      </c>
      <c r="H224" t="s">
        <v>827</v>
      </c>
      <c r="I224">
        <v>222</v>
      </c>
      <c r="J224">
        <v>687</v>
      </c>
      <c r="K224">
        <v>2700000</v>
      </c>
      <c r="L224" t="s">
        <v>28</v>
      </c>
      <c r="M224">
        <v>2795000</v>
      </c>
      <c r="N224">
        <v>0</v>
      </c>
      <c r="O224" t="s">
        <v>103</v>
      </c>
      <c r="P224" t="s">
        <v>30</v>
      </c>
      <c r="Q224" t="s">
        <v>43</v>
      </c>
      <c r="R224" t="s">
        <v>372</v>
      </c>
      <c r="S224" t="s">
        <v>43</v>
      </c>
      <c r="T224">
        <v>12162.162162162162</v>
      </c>
      <c r="U224">
        <v>3930.1310043668122</v>
      </c>
      <c r="V224">
        <v>12590.090090090091</v>
      </c>
      <c r="W224">
        <v>4068.4133915574962</v>
      </c>
      <c r="X224">
        <f ca="1">IF(ISNUMBER(properties[[#This Row],[archivedDate]]),properties[[#This Row],[archivedDate]]-properties[[#This Row],[addedDate]],TODAY()-properties[[#This Row],[addedDate]])</f>
        <v>25</v>
      </c>
      <c r="Y224">
        <f ca="1">IF(ISNUMBER(properties[[#This Row],[archivedDate]]),properties[[#This Row],[archivedDate]]-properties[[#This Row],[addedDate]],TODAY()-properties[[#This Row],[addedDate]])</f>
        <v>25</v>
      </c>
    </row>
    <row r="225" spans="1:25" x14ac:dyDescent="0.25">
      <c r="A225" s="1">
        <v>45880</v>
      </c>
      <c r="B225" t="s">
        <v>828</v>
      </c>
      <c r="C225" t="s">
        <v>372</v>
      </c>
      <c r="D225" s="1">
        <v>45910</v>
      </c>
      <c r="E225" t="s">
        <v>200</v>
      </c>
      <c r="F225">
        <v>3</v>
      </c>
      <c r="G225" t="s">
        <v>829</v>
      </c>
      <c r="H225" t="s">
        <v>830</v>
      </c>
      <c r="I225">
        <v>352</v>
      </c>
      <c r="J225">
        <v>599</v>
      </c>
      <c r="K225">
        <v>2650000</v>
      </c>
      <c r="L225" t="s">
        <v>28</v>
      </c>
      <c r="M225">
        <v>2300000</v>
      </c>
      <c r="N225">
        <v>0</v>
      </c>
      <c r="O225" t="s">
        <v>103</v>
      </c>
      <c r="P225" t="s">
        <v>30</v>
      </c>
      <c r="Q225" t="s">
        <v>43</v>
      </c>
      <c r="R225" t="s">
        <v>372</v>
      </c>
      <c r="S225" t="s">
        <v>43</v>
      </c>
      <c r="T225">
        <v>7528.409090909091</v>
      </c>
      <c r="U225">
        <v>4424.0400667779631</v>
      </c>
      <c r="V225">
        <v>6534.090909090909</v>
      </c>
      <c r="W225">
        <v>3839.7328881469116</v>
      </c>
      <c r="X225">
        <f ca="1">IF(ISNUMBER(properties[[#This Row],[archivedDate]]),properties[[#This Row],[archivedDate]]-properties[[#This Row],[addedDate]],TODAY()-properties[[#This Row],[addedDate]])</f>
        <v>30</v>
      </c>
      <c r="Y225">
        <f ca="1">IF(ISNUMBER(properties[[#This Row],[archivedDate]]),properties[[#This Row],[archivedDate]]-properties[[#This Row],[addedDate]],TODAY()-properties[[#This Row],[addedDate]])</f>
        <v>30</v>
      </c>
    </row>
    <row r="226" spans="1:25" x14ac:dyDescent="0.25">
      <c r="A226" s="1">
        <v>45880</v>
      </c>
      <c r="B226" t="s">
        <v>831</v>
      </c>
      <c r="C226" t="s">
        <v>372</v>
      </c>
      <c r="D226" s="1">
        <v>45922</v>
      </c>
      <c r="E226" t="s">
        <v>229</v>
      </c>
      <c r="F226">
        <v>2</v>
      </c>
      <c r="G226" t="s">
        <v>832</v>
      </c>
      <c r="H226" t="s">
        <v>833</v>
      </c>
      <c r="I226">
        <v>191</v>
      </c>
      <c r="J226">
        <v>661</v>
      </c>
      <c r="K226">
        <v>1450000</v>
      </c>
      <c r="L226" t="s">
        <v>28</v>
      </c>
      <c r="M226">
        <v>1300000</v>
      </c>
      <c r="N226">
        <v>0</v>
      </c>
      <c r="O226" t="s">
        <v>103</v>
      </c>
      <c r="P226" t="s">
        <v>30</v>
      </c>
      <c r="Q226" t="s">
        <v>43</v>
      </c>
      <c r="R226" t="s">
        <v>372</v>
      </c>
      <c r="S226" t="s">
        <v>43</v>
      </c>
      <c r="T226">
        <v>7591.6230366492146</v>
      </c>
      <c r="U226">
        <v>2193.6459909228442</v>
      </c>
      <c r="V226">
        <v>6806.2827225130886</v>
      </c>
      <c r="W226">
        <v>1966.7170953101361</v>
      </c>
      <c r="X226">
        <f ca="1">IF(ISNUMBER(properties[[#This Row],[archivedDate]]),properties[[#This Row],[archivedDate]]-properties[[#This Row],[addedDate]],TODAY()-properties[[#This Row],[addedDate]])</f>
        <v>42</v>
      </c>
      <c r="Y226">
        <f ca="1">IF(ISNUMBER(properties[[#This Row],[archivedDate]]),properties[[#This Row],[archivedDate]]-properties[[#This Row],[addedDate]],TODAY()-properties[[#This Row],[addedDate]])</f>
        <v>42</v>
      </c>
    </row>
    <row r="227" spans="1:25" x14ac:dyDescent="0.25">
      <c r="A227" s="1">
        <v>45881</v>
      </c>
      <c r="B227" t="s">
        <v>834</v>
      </c>
      <c r="C227" t="s">
        <v>372</v>
      </c>
      <c r="D227" s="1"/>
      <c r="E227" t="s">
        <v>82</v>
      </c>
      <c r="F227">
        <v>2</v>
      </c>
      <c r="G227" t="s">
        <v>835</v>
      </c>
      <c r="H227" t="s">
        <v>836</v>
      </c>
      <c r="I227">
        <v>231</v>
      </c>
      <c r="J227">
        <v>189</v>
      </c>
      <c r="K227">
        <v>0</v>
      </c>
      <c r="L227" t="s">
        <v>28</v>
      </c>
      <c r="M227">
        <v>2398000</v>
      </c>
      <c r="N227">
        <v>0</v>
      </c>
      <c r="O227" t="s">
        <v>29</v>
      </c>
      <c r="P227" t="s">
        <v>30</v>
      </c>
      <c r="Q227" t="s">
        <v>43</v>
      </c>
      <c r="R227" t="s">
        <v>372</v>
      </c>
      <c r="S227" t="s">
        <v>43</v>
      </c>
      <c r="V227">
        <v>10380.952380952382</v>
      </c>
      <c r="W227">
        <v>12687.830687830688</v>
      </c>
      <c r="X227">
        <f ca="1">IF(ISNUMBER(properties[[#This Row],[archivedDate]]),properties[[#This Row],[archivedDate]]-properties[[#This Row],[addedDate]],TODAY()-properties[[#This Row],[addedDate]])</f>
        <v>238</v>
      </c>
      <c r="Y227">
        <f ca="1">IF(ISNUMBER(properties[[#This Row],[archivedDate]]),properties[[#This Row],[archivedDate]]-properties[[#This Row],[addedDate]],TODAY()-properties[[#This Row],[addedDate]])</f>
        <v>238</v>
      </c>
    </row>
    <row r="228" spans="1:25" x14ac:dyDescent="0.25">
      <c r="A228" s="1">
        <v>45883</v>
      </c>
      <c r="B228" t="s">
        <v>837</v>
      </c>
      <c r="C228" t="s">
        <v>120</v>
      </c>
      <c r="D228" s="1">
        <v>46076</v>
      </c>
      <c r="E228" t="s">
        <v>196</v>
      </c>
      <c r="F228">
        <v>0</v>
      </c>
      <c r="G228" t="s">
        <v>838</v>
      </c>
      <c r="H228" t="s">
        <v>839</v>
      </c>
      <c r="I228">
        <v>22270</v>
      </c>
      <c r="J228">
        <v>22270</v>
      </c>
      <c r="K228">
        <v>0</v>
      </c>
      <c r="L228" t="s">
        <v>28</v>
      </c>
      <c r="M228">
        <v>550000</v>
      </c>
      <c r="N228">
        <v>0</v>
      </c>
      <c r="O228" t="s">
        <v>103</v>
      </c>
      <c r="P228" t="s">
        <v>194</v>
      </c>
      <c r="Q228" t="s">
        <v>43</v>
      </c>
      <c r="R228" t="s">
        <v>124</v>
      </c>
      <c r="S228" t="s">
        <v>43</v>
      </c>
      <c r="V228">
        <v>24.69690166142793</v>
      </c>
      <c r="W228">
        <v>24.69690166142793</v>
      </c>
      <c r="X228">
        <f ca="1">IF(ISNUMBER(properties[[#This Row],[archivedDate]]),properties[[#This Row],[archivedDate]]-properties[[#This Row],[addedDate]],TODAY()-properties[[#This Row],[addedDate]])</f>
        <v>193</v>
      </c>
      <c r="Y228">
        <f ca="1">IF(ISNUMBER(properties[[#This Row],[archivedDate]]),properties[[#This Row],[archivedDate]]-properties[[#This Row],[addedDate]],TODAY()-properties[[#This Row],[addedDate]])</f>
        <v>193</v>
      </c>
    </row>
    <row r="229" spans="1:25" x14ac:dyDescent="0.25">
      <c r="A229" s="1">
        <v>45887</v>
      </c>
      <c r="B229" t="s">
        <v>840</v>
      </c>
      <c r="C229" t="s">
        <v>120</v>
      </c>
      <c r="D229" s="1">
        <v>45980</v>
      </c>
      <c r="E229" t="s">
        <v>841</v>
      </c>
      <c r="F229">
        <v>0</v>
      </c>
      <c r="G229" t="s">
        <v>842</v>
      </c>
      <c r="H229" t="s">
        <v>843</v>
      </c>
      <c r="I229">
        <v>140</v>
      </c>
      <c r="J229">
        <v>1932</v>
      </c>
      <c r="K229">
        <v>0</v>
      </c>
      <c r="L229" t="s">
        <v>28</v>
      </c>
      <c r="M229">
        <v>3500000</v>
      </c>
      <c r="N229">
        <v>0</v>
      </c>
      <c r="O229" t="s">
        <v>103</v>
      </c>
      <c r="P229" t="s">
        <v>55</v>
      </c>
      <c r="Q229" t="s">
        <v>43</v>
      </c>
      <c r="R229" t="s">
        <v>124</v>
      </c>
      <c r="S229" t="s">
        <v>43</v>
      </c>
      <c r="V229">
        <v>25000</v>
      </c>
      <c r="W229">
        <v>1811.5942028985507</v>
      </c>
      <c r="X229">
        <f ca="1">IF(ISNUMBER(properties[[#This Row],[archivedDate]]),properties[[#This Row],[archivedDate]]-properties[[#This Row],[addedDate]],TODAY()-properties[[#This Row],[addedDate]])</f>
        <v>93</v>
      </c>
      <c r="Y229">
        <f ca="1">IF(ISNUMBER(properties[[#This Row],[archivedDate]]),properties[[#This Row],[archivedDate]]-properties[[#This Row],[addedDate]],TODAY()-properties[[#This Row],[addedDate]])</f>
        <v>93</v>
      </c>
    </row>
    <row r="230" spans="1:25" x14ac:dyDescent="0.25">
      <c r="A230" s="1">
        <v>45887</v>
      </c>
      <c r="B230" t="s">
        <v>844</v>
      </c>
      <c r="C230" t="s">
        <v>120</v>
      </c>
      <c r="D230" s="1">
        <v>45944</v>
      </c>
      <c r="E230" t="s">
        <v>34</v>
      </c>
      <c r="F230">
        <v>0</v>
      </c>
      <c r="G230" t="s">
        <v>845</v>
      </c>
      <c r="H230" t="s">
        <v>846</v>
      </c>
      <c r="I230">
        <v>504</v>
      </c>
      <c r="J230">
        <v>504</v>
      </c>
      <c r="K230">
        <v>1950000</v>
      </c>
      <c r="L230" t="s">
        <v>28</v>
      </c>
      <c r="M230">
        <v>1795000</v>
      </c>
      <c r="N230">
        <v>0</v>
      </c>
      <c r="O230" t="s">
        <v>103</v>
      </c>
      <c r="P230" t="s">
        <v>98</v>
      </c>
      <c r="Q230" t="s">
        <v>43</v>
      </c>
      <c r="R230" t="s">
        <v>124</v>
      </c>
      <c r="S230" t="s">
        <v>43</v>
      </c>
      <c r="T230">
        <v>3869.0476190476193</v>
      </c>
      <c r="U230">
        <v>3869.0476190476193</v>
      </c>
      <c r="V230">
        <v>3561.5079365079364</v>
      </c>
      <c r="W230">
        <v>3561.5079365079364</v>
      </c>
      <c r="X230">
        <f ca="1">IF(ISNUMBER(properties[[#This Row],[archivedDate]]),properties[[#This Row],[archivedDate]]-properties[[#This Row],[addedDate]],TODAY()-properties[[#This Row],[addedDate]])</f>
        <v>57</v>
      </c>
      <c r="Y230">
        <f ca="1">IF(ISNUMBER(properties[[#This Row],[archivedDate]]),properties[[#This Row],[archivedDate]]-properties[[#This Row],[addedDate]],TODAY()-properties[[#This Row],[addedDate]])</f>
        <v>57</v>
      </c>
    </row>
    <row r="231" spans="1:25" x14ac:dyDescent="0.25">
      <c r="A231" s="1">
        <v>45887</v>
      </c>
      <c r="B231" t="s">
        <v>847</v>
      </c>
      <c r="C231" t="s">
        <v>372</v>
      </c>
      <c r="D231" s="1">
        <v>46078</v>
      </c>
      <c r="E231" t="s">
        <v>200</v>
      </c>
      <c r="F231">
        <v>3</v>
      </c>
      <c r="G231" t="s">
        <v>848</v>
      </c>
      <c r="H231" t="s">
        <v>849</v>
      </c>
      <c r="I231">
        <v>235</v>
      </c>
      <c r="J231">
        <v>199</v>
      </c>
      <c r="K231">
        <v>0</v>
      </c>
      <c r="L231" t="s">
        <v>28</v>
      </c>
      <c r="M231">
        <v>1095000</v>
      </c>
      <c r="N231">
        <v>0</v>
      </c>
      <c r="O231" t="s">
        <v>103</v>
      </c>
      <c r="P231" t="s">
        <v>30</v>
      </c>
      <c r="Q231" t="s">
        <v>43</v>
      </c>
      <c r="R231" t="s">
        <v>372</v>
      </c>
      <c r="S231" t="s">
        <v>43</v>
      </c>
      <c r="V231">
        <v>4659.5744680851067</v>
      </c>
      <c r="W231">
        <v>5502.5125628140704</v>
      </c>
      <c r="X231">
        <f ca="1">IF(ISNUMBER(properties[[#This Row],[archivedDate]]),properties[[#This Row],[archivedDate]]-properties[[#This Row],[addedDate]],TODAY()-properties[[#This Row],[addedDate]])</f>
        <v>191</v>
      </c>
      <c r="Y231">
        <f ca="1">IF(ISNUMBER(properties[[#This Row],[archivedDate]]),properties[[#This Row],[archivedDate]]-properties[[#This Row],[addedDate]],TODAY()-properties[[#This Row],[addedDate]])</f>
        <v>191</v>
      </c>
    </row>
    <row r="232" spans="1:25" x14ac:dyDescent="0.25">
      <c r="A232" s="1">
        <v>45887</v>
      </c>
      <c r="B232" t="s">
        <v>850</v>
      </c>
      <c r="C232" t="s">
        <v>372</v>
      </c>
      <c r="D232" s="1">
        <v>45993</v>
      </c>
      <c r="E232" t="s">
        <v>405</v>
      </c>
      <c r="F232">
        <v>2</v>
      </c>
      <c r="G232" t="s">
        <v>851</v>
      </c>
      <c r="H232" t="s">
        <v>852</v>
      </c>
      <c r="I232">
        <v>184</v>
      </c>
      <c r="J232">
        <v>420</v>
      </c>
      <c r="K232">
        <v>1800000</v>
      </c>
      <c r="L232" t="s">
        <v>28</v>
      </c>
      <c r="M232">
        <v>2495000</v>
      </c>
      <c r="N232">
        <v>0</v>
      </c>
      <c r="O232" t="s">
        <v>103</v>
      </c>
      <c r="P232" t="s">
        <v>30</v>
      </c>
      <c r="Q232" t="s">
        <v>43</v>
      </c>
      <c r="R232" t="s">
        <v>372</v>
      </c>
      <c r="S232" t="s">
        <v>43</v>
      </c>
      <c r="T232">
        <v>9782.608695652174</v>
      </c>
      <c r="U232">
        <v>4285.7142857142853</v>
      </c>
      <c r="V232">
        <v>13559.782608695652</v>
      </c>
      <c r="W232">
        <v>5940.4761904761908</v>
      </c>
      <c r="X232">
        <f ca="1">IF(ISNUMBER(properties[[#This Row],[archivedDate]]),properties[[#This Row],[archivedDate]]-properties[[#This Row],[addedDate]],TODAY()-properties[[#This Row],[addedDate]])</f>
        <v>106</v>
      </c>
      <c r="Y232">
        <f ca="1">IF(ISNUMBER(properties[[#This Row],[archivedDate]]),properties[[#This Row],[archivedDate]]-properties[[#This Row],[addedDate]],TODAY()-properties[[#This Row],[addedDate]])</f>
        <v>106</v>
      </c>
    </row>
    <row r="233" spans="1:25" x14ac:dyDescent="0.25">
      <c r="A233" s="1">
        <v>45888</v>
      </c>
      <c r="B233" t="s">
        <v>853</v>
      </c>
      <c r="C233" t="s">
        <v>120</v>
      </c>
      <c r="D233" s="1">
        <v>45944</v>
      </c>
      <c r="E233" t="s">
        <v>58</v>
      </c>
      <c r="F233">
        <v>0</v>
      </c>
      <c r="G233" t="s">
        <v>854</v>
      </c>
      <c r="H233" t="s">
        <v>855</v>
      </c>
      <c r="I233">
        <v>37</v>
      </c>
      <c r="J233">
        <v>37</v>
      </c>
      <c r="K233">
        <v>75000</v>
      </c>
      <c r="L233" t="s">
        <v>28</v>
      </c>
      <c r="M233">
        <v>50000</v>
      </c>
      <c r="N233">
        <v>0</v>
      </c>
      <c r="O233" t="s">
        <v>103</v>
      </c>
      <c r="P233" t="s">
        <v>55</v>
      </c>
      <c r="Q233" t="s">
        <v>43</v>
      </c>
      <c r="R233" t="s">
        <v>124</v>
      </c>
      <c r="S233" t="s">
        <v>43</v>
      </c>
      <c r="T233">
        <v>2027.0270270270271</v>
      </c>
      <c r="U233">
        <v>2027.0270270270271</v>
      </c>
      <c r="V233">
        <v>1351.3513513513512</v>
      </c>
      <c r="W233">
        <v>1351.3513513513512</v>
      </c>
      <c r="X233">
        <f ca="1">IF(ISNUMBER(properties[[#This Row],[archivedDate]]),properties[[#This Row],[archivedDate]]-properties[[#This Row],[addedDate]],TODAY()-properties[[#This Row],[addedDate]])</f>
        <v>56</v>
      </c>
      <c r="Y233">
        <f ca="1">IF(ISNUMBER(properties[[#This Row],[archivedDate]]),properties[[#This Row],[archivedDate]]-properties[[#This Row],[addedDate]],TODAY()-properties[[#This Row],[addedDate]])</f>
        <v>56</v>
      </c>
    </row>
    <row r="234" spans="1:25" x14ac:dyDescent="0.25">
      <c r="A234" s="1">
        <v>45888</v>
      </c>
      <c r="B234" t="s">
        <v>856</v>
      </c>
      <c r="C234" t="s">
        <v>372</v>
      </c>
      <c r="D234" s="1">
        <v>45924</v>
      </c>
      <c r="E234" t="s">
        <v>63</v>
      </c>
      <c r="F234">
        <v>2</v>
      </c>
      <c r="G234" t="s">
        <v>857</v>
      </c>
      <c r="H234" t="s">
        <v>858</v>
      </c>
      <c r="I234">
        <v>182</v>
      </c>
      <c r="J234">
        <v>1817</v>
      </c>
      <c r="K234">
        <v>2800000</v>
      </c>
      <c r="L234" t="s">
        <v>28</v>
      </c>
      <c r="M234">
        <v>2398000</v>
      </c>
      <c r="N234">
        <v>0</v>
      </c>
      <c r="O234" t="s">
        <v>103</v>
      </c>
      <c r="P234" t="s">
        <v>30</v>
      </c>
      <c r="Q234" t="s">
        <v>43</v>
      </c>
      <c r="R234" t="s">
        <v>372</v>
      </c>
      <c r="S234" t="s">
        <v>43</v>
      </c>
      <c r="T234">
        <v>15384.615384615385</v>
      </c>
      <c r="U234">
        <v>1541.0016510731975</v>
      </c>
      <c r="V234">
        <v>13175.824175824177</v>
      </c>
      <c r="W234">
        <v>1319.7578425976885</v>
      </c>
      <c r="X234">
        <f ca="1">IF(ISNUMBER(properties[[#This Row],[archivedDate]]),properties[[#This Row],[archivedDate]]-properties[[#This Row],[addedDate]],TODAY()-properties[[#This Row],[addedDate]])</f>
        <v>36</v>
      </c>
      <c r="Y234">
        <f ca="1">IF(ISNUMBER(properties[[#This Row],[archivedDate]]),properties[[#This Row],[archivedDate]]-properties[[#This Row],[addedDate]],TODAY()-properties[[#This Row],[addedDate]])</f>
        <v>36</v>
      </c>
    </row>
    <row r="235" spans="1:25" x14ac:dyDescent="0.25">
      <c r="A235" s="1">
        <v>45889</v>
      </c>
      <c r="B235" t="s">
        <v>859</v>
      </c>
      <c r="C235" t="s">
        <v>120</v>
      </c>
      <c r="D235" s="1">
        <v>45944</v>
      </c>
      <c r="E235" t="s">
        <v>215</v>
      </c>
      <c r="F235">
        <v>0</v>
      </c>
      <c r="G235" t="s">
        <v>860</v>
      </c>
      <c r="H235" t="s">
        <v>861</v>
      </c>
      <c r="I235">
        <v>46</v>
      </c>
      <c r="J235">
        <v>46</v>
      </c>
      <c r="K235">
        <v>2495000</v>
      </c>
      <c r="L235" t="s">
        <v>28</v>
      </c>
      <c r="M235">
        <v>2495000</v>
      </c>
      <c r="N235">
        <v>0</v>
      </c>
      <c r="O235" t="s">
        <v>103</v>
      </c>
      <c r="P235" t="s">
        <v>123</v>
      </c>
      <c r="Q235" t="s">
        <v>43</v>
      </c>
      <c r="R235" t="s">
        <v>124</v>
      </c>
      <c r="S235" t="s">
        <v>43</v>
      </c>
      <c r="T235">
        <v>54239.130434782608</v>
      </c>
      <c r="U235">
        <v>54239.130434782608</v>
      </c>
      <c r="V235">
        <v>54239.130434782608</v>
      </c>
      <c r="W235">
        <v>54239.130434782608</v>
      </c>
      <c r="X235">
        <f ca="1">IF(ISNUMBER(properties[[#This Row],[archivedDate]]),properties[[#This Row],[archivedDate]]-properties[[#This Row],[addedDate]],TODAY()-properties[[#This Row],[addedDate]])</f>
        <v>55</v>
      </c>
      <c r="Y235">
        <f ca="1">IF(ISNUMBER(properties[[#This Row],[archivedDate]]),properties[[#This Row],[archivedDate]]-properties[[#This Row],[addedDate]],TODAY()-properties[[#This Row],[addedDate]])</f>
        <v>55</v>
      </c>
    </row>
    <row r="236" spans="1:25" x14ac:dyDescent="0.25">
      <c r="A236" s="1">
        <v>45889</v>
      </c>
      <c r="B236" t="s">
        <v>862</v>
      </c>
      <c r="C236" t="s">
        <v>120</v>
      </c>
      <c r="D236" s="1">
        <v>46083</v>
      </c>
      <c r="E236" t="s">
        <v>58</v>
      </c>
      <c r="F236">
        <v>0</v>
      </c>
      <c r="G236" t="s">
        <v>863</v>
      </c>
      <c r="H236" t="s">
        <v>864</v>
      </c>
      <c r="I236">
        <v>188</v>
      </c>
      <c r="J236">
        <v>685</v>
      </c>
      <c r="K236">
        <v>1500000</v>
      </c>
      <c r="L236" t="s">
        <v>28</v>
      </c>
      <c r="M236">
        <v>1800000</v>
      </c>
      <c r="N236">
        <v>0</v>
      </c>
      <c r="O236" t="s">
        <v>103</v>
      </c>
      <c r="P236" t="s">
        <v>30</v>
      </c>
      <c r="Q236" t="s">
        <v>43</v>
      </c>
      <c r="R236" t="s">
        <v>124</v>
      </c>
      <c r="S236" t="s">
        <v>865</v>
      </c>
      <c r="T236">
        <v>7978.7234042553191</v>
      </c>
      <c r="U236">
        <v>2189.7810218978102</v>
      </c>
      <c r="V236">
        <v>9574.4680851063822</v>
      </c>
      <c r="W236">
        <v>2627.7372262773724</v>
      </c>
      <c r="X236">
        <f ca="1">IF(ISNUMBER(properties[[#This Row],[archivedDate]]),properties[[#This Row],[archivedDate]]-properties[[#This Row],[addedDate]],TODAY()-properties[[#This Row],[addedDate]])</f>
        <v>194</v>
      </c>
      <c r="Y236">
        <f ca="1">IF(ISNUMBER(properties[[#This Row],[archivedDate]]),properties[[#This Row],[archivedDate]]-properties[[#This Row],[addedDate]],TODAY()-properties[[#This Row],[addedDate]])</f>
        <v>194</v>
      </c>
    </row>
    <row r="237" spans="1:25" x14ac:dyDescent="0.25">
      <c r="A237" s="1">
        <v>45890</v>
      </c>
      <c r="B237" t="s">
        <v>866</v>
      </c>
      <c r="C237" t="s">
        <v>120</v>
      </c>
      <c r="D237" s="1">
        <v>46059</v>
      </c>
      <c r="E237" t="s">
        <v>34</v>
      </c>
      <c r="F237">
        <v>0</v>
      </c>
      <c r="G237" t="s">
        <v>867</v>
      </c>
      <c r="H237" t="s">
        <v>868</v>
      </c>
      <c r="I237">
        <v>257</v>
      </c>
      <c r="J237">
        <v>344</v>
      </c>
      <c r="K237">
        <v>0</v>
      </c>
      <c r="L237" t="s">
        <v>28</v>
      </c>
      <c r="M237">
        <v>5800000</v>
      </c>
      <c r="N237">
        <v>0</v>
      </c>
      <c r="O237" t="s">
        <v>103</v>
      </c>
      <c r="P237" t="s">
        <v>30</v>
      </c>
      <c r="Q237" t="s">
        <v>43</v>
      </c>
      <c r="R237" t="s">
        <v>124</v>
      </c>
      <c r="S237" t="s">
        <v>869</v>
      </c>
      <c r="V237">
        <v>22568.093385214008</v>
      </c>
      <c r="W237">
        <v>16860.465116279069</v>
      </c>
      <c r="X237">
        <f ca="1">IF(ISNUMBER(properties[[#This Row],[archivedDate]]),properties[[#This Row],[archivedDate]]-properties[[#This Row],[addedDate]],TODAY()-properties[[#This Row],[addedDate]])</f>
        <v>169</v>
      </c>
      <c r="Y237">
        <f ca="1">IF(ISNUMBER(properties[[#This Row],[archivedDate]]),properties[[#This Row],[archivedDate]]-properties[[#This Row],[addedDate]],TODAY()-properties[[#This Row],[addedDate]])</f>
        <v>169</v>
      </c>
    </row>
    <row r="238" spans="1:25" x14ac:dyDescent="0.25">
      <c r="A238" s="1">
        <v>45891</v>
      </c>
      <c r="B238" t="s">
        <v>870</v>
      </c>
      <c r="C238" t="s">
        <v>120</v>
      </c>
      <c r="D238" s="1">
        <v>45981</v>
      </c>
      <c r="E238" t="s">
        <v>200</v>
      </c>
      <c r="F238">
        <v>0</v>
      </c>
      <c r="G238" t="s">
        <v>871</v>
      </c>
      <c r="H238" t="s">
        <v>872</v>
      </c>
      <c r="I238">
        <v>160</v>
      </c>
      <c r="J238">
        <v>63</v>
      </c>
      <c r="K238">
        <v>1100000</v>
      </c>
      <c r="L238" t="s">
        <v>28</v>
      </c>
      <c r="M238">
        <v>1200000</v>
      </c>
      <c r="N238">
        <v>0</v>
      </c>
      <c r="O238" t="s">
        <v>103</v>
      </c>
      <c r="P238" t="s">
        <v>55</v>
      </c>
      <c r="Q238" t="s">
        <v>43</v>
      </c>
      <c r="R238" t="s">
        <v>124</v>
      </c>
      <c r="S238" t="s">
        <v>43</v>
      </c>
      <c r="T238">
        <v>6875</v>
      </c>
      <c r="U238">
        <v>17460.317460317459</v>
      </c>
      <c r="V238">
        <v>7500</v>
      </c>
      <c r="W238">
        <v>19047.619047619046</v>
      </c>
      <c r="X238">
        <f ca="1">IF(ISNUMBER(properties[[#This Row],[archivedDate]]),properties[[#This Row],[archivedDate]]-properties[[#This Row],[addedDate]],TODAY()-properties[[#This Row],[addedDate]])</f>
        <v>90</v>
      </c>
      <c r="Y238">
        <f ca="1">IF(ISNUMBER(properties[[#This Row],[archivedDate]]),properties[[#This Row],[archivedDate]]-properties[[#This Row],[addedDate]],TODAY()-properties[[#This Row],[addedDate]])</f>
        <v>90</v>
      </c>
    </row>
    <row r="239" spans="1:25" x14ac:dyDescent="0.25">
      <c r="A239" s="1">
        <v>45891</v>
      </c>
      <c r="B239" t="s">
        <v>873</v>
      </c>
      <c r="C239" t="s">
        <v>372</v>
      </c>
      <c r="D239" s="1"/>
      <c r="E239" t="s">
        <v>752</v>
      </c>
      <c r="F239">
        <v>1</v>
      </c>
      <c r="G239" t="s">
        <v>874</v>
      </c>
      <c r="H239" t="s">
        <v>875</v>
      </c>
      <c r="I239">
        <v>950</v>
      </c>
      <c r="J239">
        <v>1400</v>
      </c>
      <c r="K239">
        <v>0</v>
      </c>
      <c r="L239" t="s">
        <v>28</v>
      </c>
      <c r="M239">
        <v>4195000</v>
      </c>
      <c r="N239">
        <v>0</v>
      </c>
      <c r="O239" t="s">
        <v>29</v>
      </c>
      <c r="P239" t="s">
        <v>185</v>
      </c>
      <c r="Q239" t="s">
        <v>43</v>
      </c>
      <c r="R239" t="s">
        <v>372</v>
      </c>
      <c r="S239" t="s">
        <v>43</v>
      </c>
      <c r="V239">
        <v>4415.7894736842109</v>
      </c>
      <c r="W239">
        <v>2996.4285714285716</v>
      </c>
      <c r="X239">
        <f ca="1">IF(ISNUMBER(properties[[#This Row],[archivedDate]]),properties[[#This Row],[archivedDate]]-properties[[#This Row],[addedDate]],TODAY()-properties[[#This Row],[addedDate]])</f>
        <v>228</v>
      </c>
      <c r="Y239">
        <f ca="1">IF(ISNUMBER(properties[[#This Row],[archivedDate]]),properties[[#This Row],[archivedDate]]-properties[[#This Row],[addedDate]],TODAY()-properties[[#This Row],[addedDate]])</f>
        <v>228</v>
      </c>
    </row>
    <row r="240" spans="1:25" x14ac:dyDescent="0.25">
      <c r="A240" s="1">
        <v>45894</v>
      </c>
      <c r="B240" t="s">
        <v>876</v>
      </c>
      <c r="C240" t="s">
        <v>372</v>
      </c>
      <c r="D240" s="1">
        <v>45922</v>
      </c>
      <c r="E240" t="s">
        <v>229</v>
      </c>
      <c r="F240">
        <v>2</v>
      </c>
      <c r="G240" t="s">
        <v>877</v>
      </c>
      <c r="H240" t="s">
        <v>878</v>
      </c>
      <c r="I240">
        <v>187</v>
      </c>
      <c r="J240">
        <v>722</v>
      </c>
      <c r="K240">
        <v>1200000</v>
      </c>
      <c r="L240" t="s">
        <v>28</v>
      </c>
      <c r="M240">
        <v>1200000</v>
      </c>
      <c r="N240">
        <v>0</v>
      </c>
      <c r="O240" t="s">
        <v>103</v>
      </c>
      <c r="P240" t="s">
        <v>30</v>
      </c>
      <c r="Q240" t="s">
        <v>43</v>
      </c>
      <c r="R240" t="s">
        <v>372</v>
      </c>
      <c r="S240" t="s">
        <v>43</v>
      </c>
      <c r="T240">
        <v>6417.1122994652405</v>
      </c>
      <c r="U240">
        <v>1662.0498614958449</v>
      </c>
      <c r="V240">
        <v>6417.1122994652405</v>
      </c>
      <c r="W240">
        <v>1662.0498614958449</v>
      </c>
      <c r="X240">
        <f ca="1">IF(ISNUMBER(properties[[#This Row],[archivedDate]]),properties[[#This Row],[archivedDate]]-properties[[#This Row],[addedDate]],TODAY()-properties[[#This Row],[addedDate]])</f>
        <v>28</v>
      </c>
      <c r="Y240">
        <f ca="1">IF(ISNUMBER(properties[[#This Row],[archivedDate]]),properties[[#This Row],[archivedDate]]-properties[[#This Row],[addedDate]],TODAY()-properties[[#This Row],[addedDate]])</f>
        <v>28</v>
      </c>
    </row>
    <row r="241" spans="1:25" x14ac:dyDescent="0.25">
      <c r="A241" s="1">
        <v>45896</v>
      </c>
      <c r="B241" t="s">
        <v>879</v>
      </c>
      <c r="C241" t="s">
        <v>120</v>
      </c>
      <c r="D241" s="1"/>
      <c r="E241" t="s">
        <v>34</v>
      </c>
      <c r="F241">
        <v>0</v>
      </c>
      <c r="G241" t="s">
        <v>880</v>
      </c>
      <c r="H241" t="s">
        <v>881</v>
      </c>
      <c r="I241">
        <v>400</v>
      </c>
      <c r="J241">
        <v>400</v>
      </c>
      <c r="K241">
        <v>1350000</v>
      </c>
      <c r="L241" t="s">
        <v>28</v>
      </c>
      <c r="M241">
        <v>1450000</v>
      </c>
      <c r="N241">
        <v>0</v>
      </c>
      <c r="O241" t="s">
        <v>29</v>
      </c>
      <c r="P241" t="s">
        <v>98</v>
      </c>
      <c r="Q241" t="s">
        <v>43</v>
      </c>
      <c r="R241" t="s">
        <v>124</v>
      </c>
      <c r="S241" t="s">
        <v>43</v>
      </c>
      <c r="T241">
        <v>3375</v>
      </c>
      <c r="U241">
        <v>3375</v>
      </c>
      <c r="V241">
        <v>3625</v>
      </c>
      <c r="W241">
        <v>3625</v>
      </c>
      <c r="X241">
        <f ca="1">IF(ISNUMBER(properties[[#This Row],[archivedDate]]),properties[[#This Row],[archivedDate]]-properties[[#This Row],[addedDate]],TODAY()-properties[[#This Row],[addedDate]])</f>
        <v>223</v>
      </c>
      <c r="Y241">
        <f ca="1">IF(ISNUMBER(properties[[#This Row],[archivedDate]]),properties[[#This Row],[archivedDate]]-properties[[#This Row],[addedDate]],TODAY()-properties[[#This Row],[addedDate]])</f>
        <v>223</v>
      </c>
    </row>
    <row r="242" spans="1:25" x14ac:dyDescent="0.25">
      <c r="A242" s="1">
        <v>45901</v>
      </c>
      <c r="B242" t="s">
        <v>882</v>
      </c>
      <c r="C242" t="s">
        <v>120</v>
      </c>
      <c r="D242" s="1">
        <v>45957</v>
      </c>
      <c r="E242" t="s">
        <v>52</v>
      </c>
      <c r="F242">
        <v>0</v>
      </c>
      <c r="G242" t="s">
        <v>883</v>
      </c>
      <c r="H242" t="s">
        <v>884</v>
      </c>
      <c r="I242">
        <v>245</v>
      </c>
      <c r="J242">
        <v>625</v>
      </c>
      <c r="K242">
        <v>0</v>
      </c>
      <c r="L242" t="s">
        <v>28</v>
      </c>
      <c r="M242">
        <v>4500000</v>
      </c>
      <c r="N242">
        <v>0</v>
      </c>
      <c r="O242" t="s">
        <v>103</v>
      </c>
      <c r="P242" t="s">
        <v>30</v>
      </c>
      <c r="Q242" t="s">
        <v>43</v>
      </c>
      <c r="R242" t="s">
        <v>124</v>
      </c>
      <c r="S242" t="s">
        <v>43</v>
      </c>
      <c r="V242">
        <v>18367.34693877551</v>
      </c>
      <c r="W242">
        <v>7200</v>
      </c>
      <c r="X242">
        <f ca="1">IF(ISNUMBER(properties[[#This Row],[archivedDate]]),properties[[#This Row],[archivedDate]]-properties[[#This Row],[addedDate]],TODAY()-properties[[#This Row],[addedDate]])</f>
        <v>56</v>
      </c>
      <c r="Y242">
        <f ca="1">IF(ISNUMBER(properties[[#This Row],[archivedDate]]),properties[[#This Row],[archivedDate]]-properties[[#This Row],[addedDate]],TODAY()-properties[[#This Row],[addedDate]])</f>
        <v>56</v>
      </c>
    </row>
    <row r="243" spans="1:25" x14ac:dyDescent="0.25">
      <c r="A243" s="1">
        <v>45904</v>
      </c>
      <c r="B243" t="s">
        <v>885</v>
      </c>
      <c r="C243" t="s">
        <v>372</v>
      </c>
      <c r="D243" s="1">
        <v>45929</v>
      </c>
      <c r="E243" t="s">
        <v>886</v>
      </c>
      <c r="F243">
        <v>0</v>
      </c>
      <c r="G243" t="s">
        <v>887</v>
      </c>
      <c r="H243" t="s">
        <v>888</v>
      </c>
      <c r="I243">
        <v>0</v>
      </c>
      <c r="J243">
        <v>869</v>
      </c>
      <c r="K243">
        <v>650000</v>
      </c>
      <c r="L243" t="s">
        <v>28</v>
      </c>
      <c r="M243">
        <v>495000</v>
      </c>
      <c r="N243">
        <v>0</v>
      </c>
      <c r="O243" t="s">
        <v>103</v>
      </c>
      <c r="P243" t="s">
        <v>98</v>
      </c>
      <c r="Q243" t="s">
        <v>43</v>
      </c>
      <c r="R243" t="s">
        <v>372</v>
      </c>
      <c r="S243" t="s">
        <v>43</v>
      </c>
      <c r="U243">
        <v>747.98619102416569</v>
      </c>
      <c r="W243">
        <v>569.62025316455697</v>
      </c>
      <c r="X243">
        <f ca="1">IF(ISNUMBER(properties[[#This Row],[archivedDate]]),properties[[#This Row],[archivedDate]]-properties[[#This Row],[addedDate]],TODAY()-properties[[#This Row],[addedDate]])</f>
        <v>25</v>
      </c>
      <c r="Y243">
        <f ca="1">IF(ISNUMBER(properties[[#This Row],[archivedDate]]),properties[[#This Row],[archivedDate]]-properties[[#This Row],[addedDate]],TODAY()-properties[[#This Row],[addedDate]])</f>
        <v>25</v>
      </c>
    </row>
    <row r="244" spans="1:25" x14ac:dyDescent="0.25">
      <c r="A244" s="1">
        <v>45905</v>
      </c>
      <c r="B244" t="s">
        <v>889</v>
      </c>
      <c r="C244" t="s">
        <v>120</v>
      </c>
      <c r="D244" s="1">
        <v>45953</v>
      </c>
      <c r="E244" t="s">
        <v>34</v>
      </c>
      <c r="F244">
        <v>0</v>
      </c>
      <c r="G244" t="s">
        <v>890</v>
      </c>
      <c r="H244" t="s">
        <v>891</v>
      </c>
      <c r="I244">
        <v>330</v>
      </c>
      <c r="J244">
        <v>517</v>
      </c>
      <c r="K244">
        <v>3800000</v>
      </c>
      <c r="L244" t="s">
        <v>28</v>
      </c>
      <c r="M244">
        <v>2500000</v>
      </c>
      <c r="N244">
        <v>0</v>
      </c>
      <c r="O244" t="s">
        <v>103</v>
      </c>
      <c r="P244" t="s">
        <v>30</v>
      </c>
      <c r="Q244" t="s">
        <v>43</v>
      </c>
      <c r="R244" t="s">
        <v>124</v>
      </c>
      <c r="S244" t="s">
        <v>892</v>
      </c>
      <c r="T244">
        <v>11515.151515151516</v>
      </c>
      <c r="U244">
        <v>7350.0967117988394</v>
      </c>
      <c r="V244">
        <v>7575.757575757576</v>
      </c>
      <c r="W244">
        <v>4835.5899419729203</v>
      </c>
      <c r="X244">
        <f ca="1">IF(ISNUMBER(properties[[#This Row],[archivedDate]]),properties[[#This Row],[archivedDate]]-properties[[#This Row],[addedDate]],TODAY()-properties[[#This Row],[addedDate]])</f>
        <v>48</v>
      </c>
      <c r="Y244">
        <f ca="1">IF(ISNUMBER(properties[[#This Row],[archivedDate]]),properties[[#This Row],[archivedDate]]-properties[[#This Row],[addedDate]],TODAY()-properties[[#This Row],[addedDate]])</f>
        <v>48</v>
      </c>
    </row>
    <row r="245" spans="1:25" x14ac:dyDescent="0.25">
      <c r="A245" s="1">
        <v>45909</v>
      </c>
      <c r="B245" t="s">
        <v>893</v>
      </c>
      <c r="C245" t="s">
        <v>120</v>
      </c>
      <c r="D245" s="1">
        <v>45975</v>
      </c>
      <c r="E245" t="s">
        <v>316</v>
      </c>
      <c r="F245">
        <v>0</v>
      </c>
      <c r="G245" t="s">
        <v>894</v>
      </c>
      <c r="H245" t="s">
        <v>895</v>
      </c>
      <c r="I245">
        <v>37</v>
      </c>
      <c r="J245">
        <v>37</v>
      </c>
      <c r="K245">
        <v>200000</v>
      </c>
      <c r="L245" t="s">
        <v>28</v>
      </c>
      <c r="M245">
        <v>200000</v>
      </c>
      <c r="N245">
        <v>0</v>
      </c>
      <c r="O245" t="s">
        <v>103</v>
      </c>
      <c r="P245" t="s">
        <v>98</v>
      </c>
      <c r="Q245" t="s">
        <v>43</v>
      </c>
      <c r="R245" t="s">
        <v>124</v>
      </c>
      <c r="S245" t="s">
        <v>43</v>
      </c>
      <c r="T245">
        <v>5405.405405405405</v>
      </c>
      <c r="U245">
        <v>5405.405405405405</v>
      </c>
      <c r="V245">
        <v>5405.405405405405</v>
      </c>
      <c r="W245">
        <v>5405.405405405405</v>
      </c>
      <c r="X245">
        <f ca="1">IF(ISNUMBER(properties[[#This Row],[archivedDate]]),properties[[#This Row],[archivedDate]]-properties[[#This Row],[addedDate]],TODAY()-properties[[#This Row],[addedDate]])</f>
        <v>66</v>
      </c>
      <c r="Y245">
        <f ca="1">IF(ISNUMBER(properties[[#This Row],[archivedDate]]),properties[[#This Row],[archivedDate]]-properties[[#This Row],[addedDate]],TODAY()-properties[[#This Row],[addedDate]])</f>
        <v>66</v>
      </c>
    </row>
    <row r="246" spans="1:25" x14ac:dyDescent="0.25">
      <c r="A246" s="1">
        <v>45910</v>
      </c>
      <c r="B246" t="s">
        <v>896</v>
      </c>
      <c r="C246" t="s">
        <v>120</v>
      </c>
      <c r="D246" s="1">
        <v>45966</v>
      </c>
      <c r="E246" t="s">
        <v>215</v>
      </c>
      <c r="F246">
        <v>0</v>
      </c>
      <c r="G246" t="s">
        <v>897</v>
      </c>
      <c r="H246" t="s">
        <v>898</v>
      </c>
      <c r="I246">
        <v>80</v>
      </c>
      <c r="J246">
        <v>80</v>
      </c>
      <c r="K246">
        <v>3860000</v>
      </c>
      <c r="L246" t="s">
        <v>28</v>
      </c>
      <c r="M246">
        <v>3550000</v>
      </c>
      <c r="N246">
        <v>0</v>
      </c>
      <c r="O246" t="s">
        <v>103</v>
      </c>
      <c r="P246" t="s">
        <v>123</v>
      </c>
      <c r="Q246" t="s">
        <v>43</v>
      </c>
      <c r="R246" t="s">
        <v>124</v>
      </c>
      <c r="S246" t="s">
        <v>899</v>
      </c>
      <c r="T246">
        <v>48250</v>
      </c>
      <c r="U246">
        <v>48250</v>
      </c>
      <c r="V246">
        <v>44375</v>
      </c>
      <c r="W246">
        <v>44375</v>
      </c>
      <c r="X246">
        <f ca="1">IF(ISNUMBER(properties[[#This Row],[archivedDate]]),properties[[#This Row],[archivedDate]]-properties[[#This Row],[addedDate]],TODAY()-properties[[#This Row],[addedDate]])</f>
        <v>56</v>
      </c>
      <c r="Y246">
        <f ca="1">IF(ISNUMBER(properties[[#This Row],[archivedDate]]),properties[[#This Row],[archivedDate]]-properties[[#This Row],[addedDate]],TODAY()-properties[[#This Row],[addedDate]])</f>
        <v>56</v>
      </c>
    </row>
    <row r="247" spans="1:25" x14ac:dyDescent="0.25">
      <c r="A247" s="1">
        <v>45910</v>
      </c>
      <c r="B247" t="s">
        <v>900</v>
      </c>
      <c r="C247" t="s">
        <v>120</v>
      </c>
      <c r="D247" s="1">
        <v>45966</v>
      </c>
      <c r="E247" t="s">
        <v>316</v>
      </c>
      <c r="F247">
        <v>0</v>
      </c>
      <c r="G247" t="s">
        <v>901</v>
      </c>
      <c r="H247" t="s">
        <v>902</v>
      </c>
      <c r="I247">
        <v>100</v>
      </c>
      <c r="J247">
        <v>50</v>
      </c>
      <c r="K247">
        <v>1600000</v>
      </c>
      <c r="L247" t="s">
        <v>28</v>
      </c>
      <c r="M247">
        <v>995000</v>
      </c>
      <c r="N247">
        <v>0</v>
      </c>
      <c r="O247" t="s">
        <v>103</v>
      </c>
      <c r="P247" t="s">
        <v>55</v>
      </c>
      <c r="Q247" t="s">
        <v>43</v>
      </c>
      <c r="R247" t="s">
        <v>124</v>
      </c>
      <c r="S247" t="s">
        <v>43</v>
      </c>
      <c r="T247">
        <v>16000</v>
      </c>
      <c r="U247">
        <v>32000</v>
      </c>
      <c r="V247">
        <v>9950</v>
      </c>
      <c r="W247">
        <v>19900</v>
      </c>
      <c r="X247">
        <f ca="1">IF(ISNUMBER(properties[[#This Row],[archivedDate]]),properties[[#This Row],[archivedDate]]-properties[[#This Row],[addedDate]],TODAY()-properties[[#This Row],[addedDate]])</f>
        <v>56</v>
      </c>
      <c r="Y247">
        <f ca="1">IF(ISNUMBER(properties[[#This Row],[archivedDate]]),properties[[#This Row],[archivedDate]]-properties[[#This Row],[addedDate]],TODAY()-properties[[#This Row],[addedDate]])</f>
        <v>56</v>
      </c>
    </row>
    <row r="248" spans="1:25" x14ac:dyDescent="0.25">
      <c r="A248" s="1">
        <v>45911</v>
      </c>
      <c r="B248" t="s">
        <v>903</v>
      </c>
      <c r="C248" t="s">
        <v>372</v>
      </c>
      <c r="D248" s="1">
        <v>45940</v>
      </c>
      <c r="E248" t="s">
        <v>160</v>
      </c>
      <c r="F248">
        <v>3</v>
      </c>
      <c r="G248" t="s">
        <v>904</v>
      </c>
      <c r="H248" t="s">
        <v>905</v>
      </c>
      <c r="I248">
        <v>248</v>
      </c>
      <c r="J248">
        <v>660</v>
      </c>
      <c r="K248">
        <v>3200000</v>
      </c>
      <c r="L248" t="s">
        <v>28</v>
      </c>
      <c r="M248">
        <v>2775000</v>
      </c>
      <c r="N248">
        <v>0</v>
      </c>
      <c r="O248" t="s">
        <v>103</v>
      </c>
      <c r="P248" t="s">
        <v>30</v>
      </c>
      <c r="Q248" t="s">
        <v>43</v>
      </c>
      <c r="R248" t="s">
        <v>372</v>
      </c>
      <c r="S248" t="s">
        <v>43</v>
      </c>
      <c r="T248">
        <v>12903.225806451614</v>
      </c>
      <c r="U248">
        <v>4848.484848484848</v>
      </c>
      <c r="V248">
        <v>11189.516129032258</v>
      </c>
      <c r="W248">
        <v>4204.545454545455</v>
      </c>
      <c r="X248">
        <f ca="1">IF(ISNUMBER(properties[[#This Row],[archivedDate]]),properties[[#This Row],[archivedDate]]-properties[[#This Row],[addedDate]],TODAY()-properties[[#This Row],[addedDate]])</f>
        <v>29</v>
      </c>
      <c r="Y248">
        <f ca="1">IF(ISNUMBER(properties[[#This Row],[archivedDate]]),properties[[#This Row],[archivedDate]]-properties[[#This Row],[addedDate]],TODAY()-properties[[#This Row],[addedDate]])</f>
        <v>29</v>
      </c>
    </row>
    <row r="249" spans="1:25" x14ac:dyDescent="0.25">
      <c r="A249" s="1">
        <v>45912</v>
      </c>
      <c r="B249" t="s">
        <v>906</v>
      </c>
      <c r="C249" t="s">
        <v>372</v>
      </c>
      <c r="D249" s="1">
        <v>45924</v>
      </c>
      <c r="E249" t="s">
        <v>200</v>
      </c>
      <c r="F249">
        <v>0</v>
      </c>
      <c r="G249" t="s">
        <v>907</v>
      </c>
      <c r="H249" t="s">
        <v>908</v>
      </c>
      <c r="I249">
        <v>36</v>
      </c>
      <c r="J249">
        <v>36</v>
      </c>
      <c r="K249">
        <v>105000</v>
      </c>
      <c r="L249" t="s">
        <v>28</v>
      </c>
      <c r="M249">
        <v>150000</v>
      </c>
      <c r="N249">
        <v>0</v>
      </c>
      <c r="O249" t="s">
        <v>103</v>
      </c>
      <c r="P249" t="s">
        <v>55</v>
      </c>
      <c r="Q249" t="s">
        <v>43</v>
      </c>
      <c r="R249" t="s">
        <v>372</v>
      </c>
      <c r="S249" t="s">
        <v>43</v>
      </c>
      <c r="T249">
        <v>2916.6666666666665</v>
      </c>
      <c r="U249">
        <v>2916.6666666666665</v>
      </c>
      <c r="V249">
        <v>4166.666666666667</v>
      </c>
      <c r="W249">
        <v>4166.666666666667</v>
      </c>
      <c r="X249">
        <f ca="1">IF(ISNUMBER(properties[[#This Row],[archivedDate]]),properties[[#This Row],[archivedDate]]-properties[[#This Row],[addedDate]],TODAY()-properties[[#This Row],[addedDate]])</f>
        <v>12</v>
      </c>
      <c r="Y249">
        <f ca="1">IF(ISNUMBER(properties[[#This Row],[archivedDate]]),properties[[#This Row],[archivedDate]]-properties[[#This Row],[addedDate]],TODAY()-properties[[#This Row],[addedDate]])</f>
        <v>12</v>
      </c>
    </row>
    <row r="250" spans="1:25" x14ac:dyDescent="0.25">
      <c r="A250" s="1">
        <v>45915</v>
      </c>
      <c r="B250" t="s">
        <v>909</v>
      </c>
      <c r="C250" t="s">
        <v>120</v>
      </c>
      <c r="D250" s="1">
        <v>45953</v>
      </c>
      <c r="E250" t="s">
        <v>160</v>
      </c>
      <c r="F250">
        <v>0</v>
      </c>
      <c r="G250" t="s">
        <v>910</v>
      </c>
      <c r="H250" t="s">
        <v>911</v>
      </c>
      <c r="I250">
        <v>330</v>
      </c>
      <c r="J250">
        <v>1221</v>
      </c>
      <c r="K250">
        <v>3695000</v>
      </c>
      <c r="L250" t="s">
        <v>28</v>
      </c>
      <c r="M250">
        <v>3695000</v>
      </c>
      <c r="N250">
        <v>0</v>
      </c>
      <c r="O250" t="s">
        <v>103</v>
      </c>
      <c r="P250" t="s">
        <v>30</v>
      </c>
      <c r="Q250" t="s">
        <v>43</v>
      </c>
      <c r="R250" t="s">
        <v>124</v>
      </c>
      <c r="S250" t="s">
        <v>912</v>
      </c>
      <c r="T250">
        <v>11196.969696969696</v>
      </c>
      <c r="U250">
        <v>3026.2080262080262</v>
      </c>
      <c r="V250">
        <v>11196.969696969696</v>
      </c>
      <c r="W250">
        <v>3026.2080262080262</v>
      </c>
      <c r="X250">
        <f ca="1">IF(ISNUMBER(properties[[#This Row],[archivedDate]]),properties[[#This Row],[archivedDate]]-properties[[#This Row],[addedDate]],TODAY()-properties[[#This Row],[addedDate]])</f>
        <v>38</v>
      </c>
      <c r="Y250">
        <f ca="1">IF(ISNUMBER(properties[[#This Row],[archivedDate]]),properties[[#This Row],[archivedDate]]-properties[[#This Row],[addedDate]],TODAY()-properties[[#This Row],[addedDate]])</f>
        <v>38</v>
      </c>
    </row>
    <row r="251" spans="1:25" x14ac:dyDescent="0.25">
      <c r="A251" s="1">
        <v>45915</v>
      </c>
      <c r="B251" t="s">
        <v>913</v>
      </c>
      <c r="C251" t="s">
        <v>120</v>
      </c>
      <c r="D251" s="1">
        <v>45953</v>
      </c>
      <c r="E251" t="s">
        <v>34</v>
      </c>
      <c r="F251">
        <v>0</v>
      </c>
      <c r="G251" t="s">
        <v>914</v>
      </c>
      <c r="H251" t="s">
        <v>915</v>
      </c>
      <c r="I251">
        <v>200</v>
      </c>
      <c r="J251">
        <v>663</v>
      </c>
      <c r="K251">
        <v>4600000</v>
      </c>
      <c r="L251" t="s">
        <v>28</v>
      </c>
      <c r="M251">
        <v>4195000</v>
      </c>
      <c r="N251">
        <v>0</v>
      </c>
      <c r="O251" t="s">
        <v>103</v>
      </c>
      <c r="P251" t="s">
        <v>30</v>
      </c>
      <c r="Q251" t="s">
        <v>43</v>
      </c>
      <c r="R251" t="s">
        <v>124</v>
      </c>
      <c r="S251" t="s">
        <v>916</v>
      </c>
      <c r="T251">
        <v>23000</v>
      </c>
      <c r="U251">
        <v>6938.1598793363501</v>
      </c>
      <c r="V251">
        <v>20975</v>
      </c>
      <c r="W251">
        <v>6327.3001508295629</v>
      </c>
      <c r="X251">
        <f ca="1">IF(ISNUMBER(properties[[#This Row],[archivedDate]]),properties[[#This Row],[archivedDate]]-properties[[#This Row],[addedDate]],TODAY()-properties[[#This Row],[addedDate]])</f>
        <v>38</v>
      </c>
      <c r="Y251">
        <f ca="1">IF(ISNUMBER(properties[[#This Row],[archivedDate]]),properties[[#This Row],[archivedDate]]-properties[[#This Row],[addedDate]],TODAY()-properties[[#This Row],[addedDate]])</f>
        <v>38</v>
      </c>
    </row>
    <row r="252" spans="1:25" x14ac:dyDescent="0.25">
      <c r="A252" s="1">
        <v>45915</v>
      </c>
      <c r="B252" t="s">
        <v>917</v>
      </c>
      <c r="C252" t="s">
        <v>372</v>
      </c>
      <c r="D252" s="1">
        <v>46010</v>
      </c>
      <c r="E252" t="s">
        <v>316</v>
      </c>
      <c r="F252">
        <v>2</v>
      </c>
      <c r="G252" t="s">
        <v>918</v>
      </c>
      <c r="H252" t="s">
        <v>919</v>
      </c>
      <c r="I252">
        <v>241</v>
      </c>
      <c r="J252">
        <v>389</v>
      </c>
      <c r="K252">
        <v>2625000</v>
      </c>
      <c r="L252" t="s">
        <v>28</v>
      </c>
      <c r="M252">
        <v>2995000</v>
      </c>
      <c r="N252">
        <v>0</v>
      </c>
      <c r="O252" t="s">
        <v>103</v>
      </c>
      <c r="P252" t="s">
        <v>30</v>
      </c>
      <c r="Q252" t="s">
        <v>43</v>
      </c>
      <c r="R252" t="s">
        <v>372</v>
      </c>
      <c r="S252" t="s">
        <v>43</v>
      </c>
      <c r="T252">
        <v>10892.116182572614</v>
      </c>
      <c r="U252">
        <v>6748.0719794344477</v>
      </c>
      <c r="V252">
        <v>12427.385892116183</v>
      </c>
      <c r="W252">
        <v>7699.2287917737785</v>
      </c>
      <c r="X252">
        <f ca="1">IF(ISNUMBER(properties[[#This Row],[archivedDate]]),properties[[#This Row],[archivedDate]]-properties[[#This Row],[addedDate]],TODAY()-properties[[#This Row],[addedDate]])</f>
        <v>95</v>
      </c>
      <c r="Y252">
        <f ca="1">IF(ISNUMBER(properties[[#This Row],[archivedDate]]),properties[[#This Row],[archivedDate]]-properties[[#This Row],[addedDate]],TODAY()-properties[[#This Row],[addedDate]])</f>
        <v>95</v>
      </c>
    </row>
    <row r="253" spans="1:25" x14ac:dyDescent="0.25">
      <c r="A253" s="1">
        <v>45916</v>
      </c>
      <c r="B253" t="s">
        <v>920</v>
      </c>
      <c r="C253" t="s">
        <v>120</v>
      </c>
      <c r="D253" s="1"/>
      <c r="E253" t="s">
        <v>34</v>
      </c>
      <c r="F253">
        <v>0</v>
      </c>
      <c r="G253" t="s">
        <v>921</v>
      </c>
      <c r="H253" t="s">
        <v>922</v>
      </c>
      <c r="I253">
        <v>225</v>
      </c>
      <c r="J253">
        <v>401</v>
      </c>
      <c r="K253">
        <v>2800000</v>
      </c>
      <c r="L253" t="s">
        <v>28</v>
      </c>
      <c r="M253">
        <v>5500000</v>
      </c>
      <c r="N253">
        <v>0</v>
      </c>
      <c r="O253" t="s">
        <v>29</v>
      </c>
      <c r="P253" t="s">
        <v>30</v>
      </c>
      <c r="Q253" t="s">
        <v>43</v>
      </c>
      <c r="R253" t="s">
        <v>124</v>
      </c>
      <c r="S253" t="s">
        <v>43</v>
      </c>
      <c r="T253">
        <v>12444.444444444445</v>
      </c>
      <c r="U253">
        <v>6982.5436408977557</v>
      </c>
      <c r="V253">
        <v>24444.444444444445</v>
      </c>
      <c r="W253">
        <v>13715.71072319202</v>
      </c>
      <c r="X253">
        <f ca="1">IF(ISNUMBER(properties[[#This Row],[archivedDate]]),properties[[#This Row],[archivedDate]]-properties[[#This Row],[addedDate]],TODAY()-properties[[#This Row],[addedDate]])</f>
        <v>203</v>
      </c>
      <c r="Y253">
        <f ca="1">IF(ISNUMBER(properties[[#This Row],[archivedDate]]),properties[[#This Row],[archivedDate]]-properties[[#This Row],[addedDate]],TODAY()-properties[[#This Row],[addedDate]])</f>
        <v>203</v>
      </c>
    </row>
    <row r="254" spans="1:25" x14ac:dyDescent="0.25">
      <c r="A254" s="1">
        <v>45918</v>
      </c>
      <c r="B254" t="s">
        <v>923</v>
      </c>
      <c r="C254" t="s">
        <v>372</v>
      </c>
      <c r="D254" s="1">
        <v>46107</v>
      </c>
      <c r="E254" t="s">
        <v>316</v>
      </c>
      <c r="F254">
        <v>3</v>
      </c>
      <c r="G254" t="s">
        <v>924</v>
      </c>
      <c r="H254" t="s">
        <v>925</v>
      </c>
      <c r="I254">
        <v>341</v>
      </c>
      <c r="J254">
        <v>526</v>
      </c>
      <c r="K254">
        <v>2800000</v>
      </c>
      <c r="L254" t="s">
        <v>28</v>
      </c>
      <c r="M254">
        <v>3495000</v>
      </c>
      <c r="N254">
        <v>0</v>
      </c>
      <c r="O254" t="s">
        <v>103</v>
      </c>
      <c r="P254" t="s">
        <v>30</v>
      </c>
      <c r="Q254" t="s">
        <v>43</v>
      </c>
      <c r="R254" t="s">
        <v>372</v>
      </c>
      <c r="S254" t="s">
        <v>43</v>
      </c>
      <c r="T254">
        <v>8211.1436950146635</v>
      </c>
      <c r="U254">
        <v>5323.19391634981</v>
      </c>
      <c r="V254">
        <v>10249.266862170089</v>
      </c>
      <c r="W254">
        <v>6644.486692015209</v>
      </c>
      <c r="X254">
        <f ca="1">IF(ISNUMBER(properties[[#This Row],[archivedDate]]),properties[[#This Row],[archivedDate]]-properties[[#This Row],[addedDate]],TODAY()-properties[[#This Row],[addedDate]])</f>
        <v>189</v>
      </c>
      <c r="Y254">
        <f ca="1">IF(ISNUMBER(properties[[#This Row],[archivedDate]]),properties[[#This Row],[archivedDate]]-properties[[#This Row],[addedDate]],TODAY()-properties[[#This Row],[addedDate]])</f>
        <v>189</v>
      </c>
    </row>
    <row r="255" spans="1:25" x14ac:dyDescent="0.25">
      <c r="A255" s="1">
        <v>45918</v>
      </c>
      <c r="B255" t="s">
        <v>926</v>
      </c>
      <c r="C255" t="s">
        <v>372</v>
      </c>
      <c r="D255" s="1">
        <v>45989</v>
      </c>
      <c r="E255" t="s">
        <v>34</v>
      </c>
      <c r="F255">
        <v>2</v>
      </c>
      <c r="G255" t="s">
        <v>927</v>
      </c>
      <c r="H255" t="s">
        <v>928</v>
      </c>
      <c r="I255">
        <v>180</v>
      </c>
      <c r="J255">
        <v>212</v>
      </c>
      <c r="K255">
        <v>3800000</v>
      </c>
      <c r="L255" t="s">
        <v>28</v>
      </c>
      <c r="M255">
        <v>3800000</v>
      </c>
      <c r="N255">
        <v>0</v>
      </c>
      <c r="O255" t="s">
        <v>103</v>
      </c>
      <c r="P255" t="s">
        <v>30</v>
      </c>
      <c r="Q255" t="s">
        <v>43</v>
      </c>
      <c r="R255" t="s">
        <v>372</v>
      </c>
      <c r="S255" t="s">
        <v>43</v>
      </c>
      <c r="T255">
        <v>21111.111111111109</v>
      </c>
      <c r="U255">
        <v>17924.528301886792</v>
      </c>
      <c r="V255">
        <v>21111.111111111109</v>
      </c>
      <c r="W255">
        <v>17924.528301886792</v>
      </c>
      <c r="X255">
        <f ca="1">IF(ISNUMBER(properties[[#This Row],[archivedDate]]),properties[[#This Row],[archivedDate]]-properties[[#This Row],[addedDate]],TODAY()-properties[[#This Row],[addedDate]])</f>
        <v>71</v>
      </c>
      <c r="Y255">
        <f ca="1">IF(ISNUMBER(properties[[#This Row],[archivedDate]]),properties[[#This Row],[archivedDate]]-properties[[#This Row],[addedDate]],TODAY()-properties[[#This Row],[addedDate]])</f>
        <v>71</v>
      </c>
    </row>
    <row r="256" spans="1:25" x14ac:dyDescent="0.25">
      <c r="A256" s="1">
        <v>45918</v>
      </c>
      <c r="B256" t="s">
        <v>929</v>
      </c>
      <c r="C256" t="s">
        <v>372</v>
      </c>
      <c r="D256" s="1">
        <v>45929</v>
      </c>
      <c r="E256" t="s">
        <v>68</v>
      </c>
      <c r="F256">
        <v>3</v>
      </c>
      <c r="G256" t="s">
        <v>930</v>
      </c>
      <c r="H256" t="s">
        <v>931</v>
      </c>
      <c r="I256">
        <v>106</v>
      </c>
      <c r="J256">
        <v>250</v>
      </c>
      <c r="K256">
        <v>0</v>
      </c>
      <c r="L256" t="s">
        <v>28</v>
      </c>
      <c r="M256">
        <v>1795000</v>
      </c>
      <c r="N256">
        <v>0</v>
      </c>
      <c r="O256" t="s">
        <v>103</v>
      </c>
      <c r="P256" t="s">
        <v>30</v>
      </c>
      <c r="Q256" t="s">
        <v>43</v>
      </c>
      <c r="R256" t="s">
        <v>372</v>
      </c>
      <c r="S256" t="s">
        <v>43</v>
      </c>
      <c r="V256">
        <v>16933.962264150945</v>
      </c>
      <c r="W256">
        <v>7180</v>
      </c>
      <c r="X256">
        <f ca="1">IF(ISNUMBER(properties[[#This Row],[archivedDate]]),properties[[#This Row],[archivedDate]]-properties[[#This Row],[addedDate]],TODAY()-properties[[#This Row],[addedDate]])</f>
        <v>11</v>
      </c>
      <c r="Y256">
        <f ca="1">IF(ISNUMBER(properties[[#This Row],[archivedDate]]),properties[[#This Row],[archivedDate]]-properties[[#This Row],[addedDate]],TODAY()-properties[[#This Row],[addedDate]])</f>
        <v>11</v>
      </c>
    </row>
    <row r="257" spans="1:25" x14ac:dyDescent="0.25">
      <c r="A257" s="1">
        <v>45919</v>
      </c>
      <c r="B257" t="s">
        <v>932</v>
      </c>
      <c r="C257" t="s">
        <v>372</v>
      </c>
      <c r="D257" s="1"/>
      <c r="E257" t="s">
        <v>405</v>
      </c>
      <c r="F257">
        <v>2</v>
      </c>
      <c r="G257" t="s">
        <v>933</v>
      </c>
      <c r="H257" t="s">
        <v>934</v>
      </c>
      <c r="I257">
        <v>189</v>
      </c>
      <c r="J257">
        <v>411</v>
      </c>
      <c r="K257">
        <v>1800000</v>
      </c>
      <c r="L257" t="s">
        <v>28</v>
      </c>
      <c r="M257">
        <v>2395000</v>
      </c>
      <c r="N257">
        <v>0</v>
      </c>
      <c r="O257" t="s">
        <v>29</v>
      </c>
      <c r="P257" t="s">
        <v>30</v>
      </c>
      <c r="Q257" t="s">
        <v>43</v>
      </c>
      <c r="R257" t="s">
        <v>372</v>
      </c>
      <c r="S257" t="s">
        <v>43</v>
      </c>
      <c r="T257">
        <v>9523.8095238095229</v>
      </c>
      <c r="U257">
        <v>4379.5620437956204</v>
      </c>
      <c r="V257">
        <v>12671.957671957673</v>
      </c>
      <c r="W257">
        <v>5827.2506082725058</v>
      </c>
      <c r="X257">
        <f ca="1">IF(ISNUMBER(properties[[#This Row],[archivedDate]]),properties[[#This Row],[archivedDate]]-properties[[#This Row],[addedDate]],TODAY()-properties[[#This Row],[addedDate]])</f>
        <v>200</v>
      </c>
      <c r="Y257">
        <f ca="1">IF(ISNUMBER(properties[[#This Row],[archivedDate]]),properties[[#This Row],[archivedDate]]-properties[[#This Row],[addedDate]],TODAY()-properties[[#This Row],[addedDate]])</f>
        <v>200</v>
      </c>
    </row>
    <row r="258" spans="1:25" x14ac:dyDescent="0.25">
      <c r="A258" s="1">
        <v>45919</v>
      </c>
      <c r="B258" t="s">
        <v>935</v>
      </c>
      <c r="C258" t="s">
        <v>372</v>
      </c>
      <c r="D258" s="1">
        <v>45940</v>
      </c>
      <c r="E258" t="s">
        <v>141</v>
      </c>
      <c r="F258">
        <v>3</v>
      </c>
      <c r="G258" t="s">
        <v>936</v>
      </c>
      <c r="H258" t="s">
        <v>937</v>
      </c>
      <c r="I258">
        <v>159</v>
      </c>
      <c r="J258">
        <v>91</v>
      </c>
      <c r="K258">
        <v>1200000</v>
      </c>
      <c r="L258" t="s">
        <v>28</v>
      </c>
      <c r="M258">
        <v>1175000</v>
      </c>
      <c r="N258">
        <v>0</v>
      </c>
      <c r="O258" t="s">
        <v>103</v>
      </c>
      <c r="P258" t="s">
        <v>30</v>
      </c>
      <c r="Q258" t="s">
        <v>43</v>
      </c>
      <c r="R258" t="s">
        <v>372</v>
      </c>
      <c r="S258" t="s">
        <v>43</v>
      </c>
      <c r="T258">
        <v>7547.1698113207549</v>
      </c>
      <c r="U258">
        <v>13186.813186813188</v>
      </c>
      <c r="V258">
        <v>7389.9371069182389</v>
      </c>
      <c r="W258">
        <v>12912.087912087913</v>
      </c>
      <c r="X258">
        <f ca="1">IF(ISNUMBER(properties[[#This Row],[archivedDate]]),properties[[#This Row],[archivedDate]]-properties[[#This Row],[addedDate]],TODAY()-properties[[#This Row],[addedDate]])</f>
        <v>21</v>
      </c>
      <c r="Y258">
        <f ca="1">IF(ISNUMBER(properties[[#This Row],[archivedDate]]),properties[[#This Row],[archivedDate]]-properties[[#This Row],[addedDate]],TODAY()-properties[[#This Row],[addedDate]])</f>
        <v>21</v>
      </c>
    </row>
    <row r="259" spans="1:25" x14ac:dyDescent="0.25">
      <c r="A259" s="1">
        <v>45922</v>
      </c>
      <c r="B259" t="s">
        <v>938</v>
      </c>
      <c r="C259" t="s">
        <v>372</v>
      </c>
      <c r="D259" s="1">
        <v>46024</v>
      </c>
      <c r="E259" t="s">
        <v>939</v>
      </c>
      <c r="F259">
        <v>2</v>
      </c>
      <c r="G259" t="s">
        <v>940</v>
      </c>
      <c r="H259" t="s">
        <v>941</v>
      </c>
      <c r="I259">
        <v>204</v>
      </c>
      <c r="J259">
        <v>789</v>
      </c>
      <c r="K259">
        <v>0</v>
      </c>
      <c r="L259" t="s">
        <v>28</v>
      </c>
      <c r="M259">
        <v>2950000</v>
      </c>
      <c r="N259">
        <v>0</v>
      </c>
      <c r="O259" t="s">
        <v>103</v>
      </c>
      <c r="P259" t="s">
        <v>30</v>
      </c>
      <c r="Q259" t="s">
        <v>43</v>
      </c>
      <c r="R259" t="s">
        <v>372</v>
      </c>
      <c r="S259" t="s">
        <v>43</v>
      </c>
      <c r="V259">
        <v>14460.784313725489</v>
      </c>
      <c r="W259">
        <v>3738.9100126742715</v>
      </c>
      <c r="X259">
        <f ca="1">IF(ISNUMBER(properties[[#This Row],[archivedDate]]),properties[[#This Row],[archivedDate]]-properties[[#This Row],[addedDate]],TODAY()-properties[[#This Row],[addedDate]])</f>
        <v>102</v>
      </c>
      <c r="Y259">
        <f ca="1">IF(ISNUMBER(properties[[#This Row],[archivedDate]]),properties[[#This Row],[archivedDate]]-properties[[#This Row],[addedDate]],TODAY()-properties[[#This Row],[addedDate]])</f>
        <v>102</v>
      </c>
    </row>
    <row r="260" spans="1:25" x14ac:dyDescent="0.25">
      <c r="A260" s="1">
        <v>45923</v>
      </c>
      <c r="B260" t="s">
        <v>942</v>
      </c>
      <c r="C260" t="s">
        <v>120</v>
      </c>
      <c r="D260" s="1">
        <v>45975</v>
      </c>
      <c r="E260" t="s">
        <v>46</v>
      </c>
      <c r="F260">
        <v>0</v>
      </c>
      <c r="G260" t="s">
        <v>943</v>
      </c>
      <c r="H260" t="s">
        <v>944</v>
      </c>
      <c r="I260">
        <v>160</v>
      </c>
      <c r="J260">
        <v>324</v>
      </c>
      <c r="K260">
        <v>4500000</v>
      </c>
      <c r="L260" t="s">
        <v>28</v>
      </c>
      <c r="M260">
        <v>4100000</v>
      </c>
      <c r="N260">
        <v>0</v>
      </c>
      <c r="O260" t="s">
        <v>103</v>
      </c>
      <c r="P260" t="s">
        <v>297</v>
      </c>
      <c r="Q260" t="s">
        <v>43</v>
      </c>
      <c r="R260" t="s">
        <v>124</v>
      </c>
      <c r="S260" t="s">
        <v>945</v>
      </c>
      <c r="T260">
        <v>28125</v>
      </c>
      <c r="U260">
        <v>13888.888888888889</v>
      </c>
      <c r="V260">
        <v>25625</v>
      </c>
      <c r="W260">
        <v>12654.320987654321</v>
      </c>
      <c r="X260">
        <f ca="1">IF(ISNUMBER(properties[[#This Row],[archivedDate]]),properties[[#This Row],[archivedDate]]-properties[[#This Row],[addedDate]],TODAY()-properties[[#This Row],[addedDate]])</f>
        <v>52</v>
      </c>
      <c r="Y260">
        <f ca="1">IF(ISNUMBER(properties[[#This Row],[archivedDate]]),properties[[#This Row],[archivedDate]]-properties[[#This Row],[addedDate]],TODAY()-properties[[#This Row],[addedDate]])</f>
        <v>52</v>
      </c>
    </row>
    <row r="261" spans="1:25" x14ac:dyDescent="0.25">
      <c r="A261" s="1">
        <v>45925</v>
      </c>
      <c r="B261" t="s">
        <v>946</v>
      </c>
      <c r="C261" t="s">
        <v>372</v>
      </c>
      <c r="D261" s="1">
        <v>46035</v>
      </c>
      <c r="E261" t="s">
        <v>25</v>
      </c>
      <c r="F261">
        <v>3</v>
      </c>
      <c r="G261" t="s">
        <v>947</v>
      </c>
      <c r="H261" t="s">
        <v>948</v>
      </c>
      <c r="I261">
        <v>156</v>
      </c>
      <c r="J261">
        <v>382</v>
      </c>
      <c r="K261">
        <v>800000</v>
      </c>
      <c r="L261" t="s">
        <v>28</v>
      </c>
      <c r="M261">
        <v>1150000</v>
      </c>
      <c r="N261">
        <v>0</v>
      </c>
      <c r="O261" t="s">
        <v>103</v>
      </c>
      <c r="P261" t="s">
        <v>30</v>
      </c>
      <c r="Q261" t="s">
        <v>43</v>
      </c>
      <c r="R261" t="s">
        <v>372</v>
      </c>
      <c r="S261" t="s">
        <v>43</v>
      </c>
      <c r="T261">
        <v>5128.2051282051279</v>
      </c>
      <c r="U261">
        <v>2094.2408376963349</v>
      </c>
      <c r="V261">
        <v>7371.7948717948721</v>
      </c>
      <c r="W261">
        <v>3010.4712041884818</v>
      </c>
      <c r="X261">
        <f ca="1">IF(ISNUMBER(properties[[#This Row],[archivedDate]]),properties[[#This Row],[archivedDate]]-properties[[#This Row],[addedDate]],TODAY()-properties[[#This Row],[addedDate]])</f>
        <v>110</v>
      </c>
      <c r="Y261">
        <f ca="1">IF(ISNUMBER(properties[[#This Row],[archivedDate]]),properties[[#This Row],[archivedDate]]-properties[[#This Row],[addedDate]],TODAY()-properties[[#This Row],[addedDate]])</f>
        <v>110</v>
      </c>
    </row>
    <row r="262" spans="1:25" x14ac:dyDescent="0.25">
      <c r="A262" s="1">
        <v>45925</v>
      </c>
      <c r="B262" t="s">
        <v>949</v>
      </c>
      <c r="C262" t="s">
        <v>372</v>
      </c>
      <c r="D262" s="1"/>
      <c r="E262" t="s">
        <v>316</v>
      </c>
      <c r="F262">
        <v>2</v>
      </c>
      <c r="G262" t="s">
        <v>950</v>
      </c>
      <c r="H262" t="s">
        <v>951</v>
      </c>
      <c r="I262">
        <v>153</v>
      </c>
      <c r="J262">
        <v>113</v>
      </c>
      <c r="K262">
        <v>0</v>
      </c>
      <c r="L262" t="s">
        <v>28</v>
      </c>
      <c r="M262">
        <v>3995000</v>
      </c>
      <c r="N262">
        <v>0</v>
      </c>
      <c r="O262" t="s">
        <v>29</v>
      </c>
      <c r="P262" t="s">
        <v>185</v>
      </c>
      <c r="Q262" t="s">
        <v>43</v>
      </c>
      <c r="R262" t="s">
        <v>372</v>
      </c>
      <c r="S262" t="s">
        <v>43</v>
      </c>
      <c r="V262">
        <v>26111.111111111109</v>
      </c>
      <c r="W262">
        <v>35353.982300884956</v>
      </c>
      <c r="X262">
        <f ca="1">IF(ISNUMBER(properties[[#This Row],[archivedDate]]),properties[[#This Row],[archivedDate]]-properties[[#This Row],[addedDate]],TODAY()-properties[[#This Row],[addedDate]])</f>
        <v>194</v>
      </c>
      <c r="Y262">
        <f ca="1">IF(ISNUMBER(properties[[#This Row],[archivedDate]]),properties[[#This Row],[archivedDate]]-properties[[#This Row],[addedDate]],TODAY()-properties[[#This Row],[addedDate]])</f>
        <v>194</v>
      </c>
    </row>
    <row r="263" spans="1:25" x14ac:dyDescent="0.25">
      <c r="A263" s="1">
        <v>45931</v>
      </c>
      <c r="B263" t="s">
        <v>952</v>
      </c>
      <c r="C263" t="s">
        <v>120</v>
      </c>
      <c r="D263" s="1">
        <v>46001</v>
      </c>
      <c r="E263" t="s">
        <v>34</v>
      </c>
      <c r="F263">
        <v>0</v>
      </c>
      <c r="G263" t="s">
        <v>953</v>
      </c>
      <c r="H263" t="s">
        <v>954</v>
      </c>
      <c r="I263">
        <v>167</v>
      </c>
      <c r="J263">
        <v>171</v>
      </c>
      <c r="K263">
        <v>3200000</v>
      </c>
      <c r="L263" t="s">
        <v>28</v>
      </c>
      <c r="M263">
        <v>2950000</v>
      </c>
      <c r="N263">
        <v>0</v>
      </c>
      <c r="O263" t="s">
        <v>103</v>
      </c>
      <c r="P263" t="s">
        <v>297</v>
      </c>
      <c r="Q263" t="s">
        <v>43</v>
      </c>
      <c r="R263" t="s">
        <v>124</v>
      </c>
      <c r="S263" t="s">
        <v>43</v>
      </c>
      <c r="T263">
        <v>19161.676646706586</v>
      </c>
      <c r="U263">
        <v>18713.450292397662</v>
      </c>
      <c r="V263">
        <v>17664.670658682633</v>
      </c>
      <c r="W263">
        <v>17251.461988304094</v>
      </c>
      <c r="X263">
        <f ca="1">IF(ISNUMBER(properties[[#This Row],[archivedDate]]),properties[[#This Row],[archivedDate]]-properties[[#This Row],[addedDate]],TODAY()-properties[[#This Row],[addedDate]])</f>
        <v>70</v>
      </c>
      <c r="Y263">
        <f ca="1">IF(ISNUMBER(properties[[#This Row],[archivedDate]]),properties[[#This Row],[archivedDate]]-properties[[#This Row],[addedDate]],TODAY()-properties[[#This Row],[addedDate]])</f>
        <v>70</v>
      </c>
    </row>
    <row r="264" spans="1:25" x14ac:dyDescent="0.25">
      <c r="A264" s="1">
        <v>45932</v>
      </c>
      <c r="B264" t="s">
        <v>955</v>
      </c>
      <c r="C264" t="s">
        <v>120</v>
      </c>
      <c r="D264" s="1">
        <v>46001</v>
      </c>
      <c r="E264" t="s">
        <v>90</v>
      </c>
      <c r="F264">
        <v>0</v>
      </c>
      <c r="G264" t="s">
        <v>956</v>
      </c>
      <c r="H264" t="s">
        <v>957</v>
      </c>
      <c r="I264">
        <v>220</v>
      </c>
      <c r="J264">
        <v>676</v>
      </c>
      <c r="K264">
        <v>0</v>
      </c>
      <c r="L264" t="s">
        <v>28</v>
      </c>
      <c r="M264">
        <v>2200000</v>
      </c>
      <c r="N264">
        <v>0</v>
      </c>
      <c r="O264" t="s">
        <v>103</v>
      </c>
      <c r="P264" t="s">
        <v>30</v>
      </c>
      <c r="Q264" t="s">
        <v>43</v>
      </c>
      <c r="R264" t="s">
        <v>124</v>
      </c>
      <c r="S264" t="s">
        <v>43</v>
      </c>
      <c r="V264">
        <v>10000</v>
      </c>
      <c r="W264">
        <v>3254.437869822485</v>
      </c>
      <c r="X264">
        <f ca="1">IF(ISNUMBER(properties[[#This Row],[archivedDate]]),properties[[#This Row],[archivedDate]]-properties[[#This Row],[addedDate]],TODAY()-properties[[#This Row],[addedDate]])</f>
        <v>69</v>
      </c>
      <c r="Y264">
        <f ca="1">IF(ISNUMBER(properties[[#This Row],[archivedDate]]),properties[[#This Row],[archivedDate]]-properties[[#This Row],[addedDate]],TODAY()-properties[[#This Row],[addedDate]])</f>
        <v>69</v>
      </c>
    </row>
    <row r="265" spans="1:25" x14ac:dyDescent="0.25">
      <c r="A265" s="1">
        <v>45932</v>
      </c>
      <c r="B265" t="s">
        <v>958</v>
      </c>
      <c r="C265" t="s">
        <v>120</v>
      </c>
      <c r="D265" s="1">
        <v>45978</v>
      </c>
      <c r="E265" t="s">
        <v>115</v>
      </c>
      <c r="F265">
        <v>0</v>
      </c>
      <c r="G265" t="s">
        <v>959</v>
      </c>
      <c r="H265" t="s">
        <v>960</v>
      </c>
      <c r="I265">
        <v>55</v>
      </c>
      <c r="J265">
        <v>40</v>
      </c>
      <c r="K265">
        <v>400000</v>
      </c>
      <c r="L265" t="s">
        <v>28</v>
      </c>
      <c r="M265">
        <v>300000</v>
      </c>
      <c r="N265">
        <v>0</v>
      </c>
      <c r="O265" t="s">
        <v>103</v>
      </c>
      <c r="P265" t="s">
        <v>55</v>
      </c>
      <c r="Q265" t="s">
        <v>43</v>
      </c>
      <c r="R265" t="s">
        <v>124</v>
      </c>
      <c r="S265" t="s">
        <v>43</v>
      </c>
      <c r="T265">
        <v>7272.727272727273</v>
      </c>
      <c r="U265">
        <v>10000</v>
      </c>
      <c r="V265">
        <v>5454.545454545455</v>
      </c>
      <c r="W265">
        <v>7500</v>
      </c>
      <c r="X265">
        <f ca="1">IF(ISNUMBER(properties[[#This Row],[archivedDate]]),properties[[#This Row],[archivedDate]]-properties[[#This Row],[addedDate]],TODAY()-properties[[#This Row],[addedDate]])</f>
        <v>46</v>
      </c>
      <c r="Y265">
        <f ca="1">IF(ISNUMBER(properties[[#This Row],[archivedDate]]),properties[[#This Row],[archivedDate]]-properties[[#This Row],[addedDate]],TODAY()-properties[[#This Row],[addedDate]])</f>
        <v>46</v>
      </c>
    </row>
    <row r="266" spans="1:25" x14ac:dyDescent="0.25">
      <c r="A266" s="1">
        <v>45932</v>
      </c>
      <c r="B266" t="s">
        <v>961</v>
      </c>
      <c r="C266" t="s">
        <v>372</v>
      </c>
      <c r="D266" s="1">
        <v>45954</v>
      </c>
      <c r="E266" t="s">
        <v>52</v>
      </c>
      <c r="F266">
        <v>2</v>
      </c>
      <c r="G266" t="s">
        <v>962</v>
      </c>
      <c r="H266" t="s">
        <v>800</v>
      </c>
      <c r="I266">
        <v>269</v>
      </c>
      <c r="J266">
        <v>894</v>
      </c>
      <c r="K266">
        <v>2300000</v>
      </c>
      <c r="L266" t="s">
        <v>28</v>
      </c>
      <c r="M266">
        <v>2700000</v>
      </c>
      <c r="N266">
        <v>0</v>
      </c>
      <c r="O266" t="s">
        <v>103</v>
      </c>
      <c r="P266" t="s">
        <v>30</v>
      </c>
      <c r="Q266" t="s">
        <v>963</v>
      </c>
      <c r="R266" t="s">
        <v>372</v>
      </c>
      <c r="S266" t="s">
        <v>43</v>
      </c>
      <c r="T266">
        <v>8550.1858736059476</v>
      </c>
      <c r="U266">
        <v>2572.7069351230425</v>
      </c>
      <c r="V266">
        <v>10037.174721189591</v>
      </c>
      <c r="W266">
        <v>3020.1342281879197</v>
      </c>
      <c r="X266">
        <f ca="1">IF(ISNUMBER(properties[[#This Row],[archivedDate]]),properties[[#This Row],[archivedDate]]-properties[[#This Row],[addedDate]],TODAY()-properties[[#This Row],[addedDate]])</f>
        <v>22</v>
      </c>
      <c r="Y266">
        <f ca="1">IF(ISNUMBER(properties[[#This Row],[archivedDate]]),properties[[#This Row],[archivedDate]]-properties[[#This Row],[addedDate]],TODAY()-properties[[#This Row],[addedDate]])</f>
        <v>22</v>
      </c>
    </row>
    <row r="267" spans="1:25" x14ac:dyDescent="0.25">
      <c r="A267" s="1">
        <v>45933</v>
      </c>
      <c r="B267" t="s">
        <v>964</v>
      </c>
      <c r="C267" t="s">
        <v>372</v>
      </c>
      <c r="D267" s="1">
        <v>45960</v>
      </c>
      <c r="E267" t="s">
        <v>46</v>
      </c>
      <c r="F267">
        <v>2</v>
      </c>
      <c r="G267" t="s">
        <v>965</v>
      </c>
      <c r="H267" t="s">
        <v>966</v>
      </c>
      <c r="I267">
        <v>182</v>
      </c>
      <c r="J267">
        <v>269</v>
      </c>
      <c r="K267">
        <v>4700000</v>
      </c>
      <c r="L267" t="s">
        <v>28</v>
      </c>
      <c r="M267">
        <v>4495000</v>
      </c>
      <c r="N267">
        <v>0</v>
      </c>
      <c r="O267" t="s">
        <v>103</v>
      </c>
      <c r="P267" t="s">
        <v>30</v>
      </c>
      <c r="Q267" t="s">
        <v>43</v>
      </c>
      <c r="R267" t="s">
        <v>372</v>
      </c>
      <c r="S267" t="s">
        <v>43</v>
      </c>
      <c r="T267">
        <v>25824.175824175825</v>
      </c>
      <c r="U267">
        <v>17472.118959107807</v>
      </c>
      <c r="V267">
        <v>24697.802197802197</v>
      </c>
      <c r="W267">
        <v>16710.03717472119</v>
      </c>
      <c r="X267">
        <f ca="1">IF(ISNUMBER(properties[[#This Row],[archivedDate]]),properties[[#This Row],[archivedDate]]-properties[[#This Row],[addedDate]],TODAY()-properties[[#This Row],[addedDate]])</f>
        <v>27</v>
      </c>
      <c r="Y267">
        <f ca="1">IF(ISNUMBER(properties[[#This Row],[archivedDate]]),properties[[#This Row],[archivedDate]]-properties[[#This Row],[addedDate]],TODAY()-properties[[#This Row],[addedDate]])</f>
        <v>27</v>
      </c>
    </row>
    <row r="268" spans="1:25" x14ac:dyDescent="0.25">
      <c r="A268" s="1">
        <v>45933</v>
      </c>
      <c r="B268" t="s">
        <v>967</v>
      </c>
      <c r="C268" t="s">
        <v>372</v>
      </c>
      <c r="D268" s="1">
        <v>45937</v>
      </c>
      <c r="E268" t="s">
        <v>146</v>
      </c>
      <c r="F268">
        <v>1</v>
      </c>
      <c r="G268" t="s">
        <v>968</v>
      </c>
      <c r="H268" t="s">
        <v>969</v>
      </c>
      <c r="I268">
        <v>56</v>
      </c>
      <c r="J268">
        <v>427</v>
      </c>
      <c r="K268">
        <v>0</v>
      </c>
      <c r="L268" t="s">
        <v>28</v>
      </c>
      <c r="M268">
        <v>595000</v>
      </c>
      <c r="N268">
        <v>0</v>
      </c>
      <c r="O268" t="s">
        <v>103</v>
      </c>
      <c r="P268" t="s">
        <v>30</v>
      </c>
      <c r="Q268" t="s">
        <v>43</v>
      </c>
      <c r="R268" t="s">
        <v>372</v>
      </c>
      <c r="S268" t="s">
        <v>43</v>
      </c>
      <c r="V268">
        <v>10625</v>
      </c>
      <c r="W268">
        <v>1393.4426229508197</v>
      </c>
      <c r="X268">
        <f ca="1">IF(ISNUMBER(properties[[#This Row],[archivedDate]]),properties[[#This Row],[archivedDate]]-properties[[#This Row],[addedDate]],TODAY()-properties[[#This Row],[addedDate]])</f>
        <v>4</v>
      </c>
      <c r="Y268">
        <f ca="1">IF(ISNUMBER(properties[[#This Row],[archivedDate]]),properties[[#This Row],[archivedDate]]-properties[[#This Row],[addedDate]],TODAY()-properties[[#This Row],[addedDate]])</f>
        <v>4</v>
      </c>
    </row>
    <row r="269" spans="1:25" x14ac:dyDescent="0.25">
      <c r="A269" s="1">
        <v>45933</v>
      </c>
      <c r="B269" t="s">
        <v>970</v>
      </c>
      <c r="C269" t="s">
        <v>372</v>
      </c>
      <c r="D269" s="1">
        <v>45967</v>
      </c>
      <c r="E269" t="s">
        <v>196</v>
      </c>
      <c r="F269">
        <v>2</v>
      </c>
      <c r="G269" t="s">
        <v>971</v>
      </c>
      <c r="H269" t="s">
        <v>972</v>
      </c>
      <c r="I269">
        <v>157</v>
      </c>
      <c r="J269">
        <v>505</v>
      </c>
      <c r="K269">
        <v>3500000</v>
      </c>
      <c r="L269" t="s">
        <v>28</v>
      </c>
      <c r="M269">
        <v>3750000</v>
      </c>
      <c r="N269">
        <v>0</v>
      </c>
      <c r="O269" t="s">
        <v>103</v>
      </c>
      <c r="P269" t="s">
        <v>30</v>
      </c>
      <c r="Q269" t="s">
        <v>43</v>
      </c>
      <c r="R269" t="s">
        <v>372</v>
      </c>
      <c r="S269" t="s">
        <v>43</v>
      </c>
      <c r="T269">
        <v>22292.993630573248</v>
      </c>
      <c r="U269">
        <v>6930.6930693069307</v>
      </c>
      <c r="V269">
        <v>23885.350318471337</v>
      </c>
      <c r="W269">
        <v>7425.742574257426</v>
      </c>
      <c r="X269">
        <f ca="1">IF(ISNUMBER(properties[[#This Row],[archivedDate]]),properties[[#This Row],[archivedDate]]-properties[[#This Row],[addedDate]],TODAY()-properties[[#This Row],[addedDate]])</f>
        <v>34</v>
      </c>
      <c r="Y269">
        <f ca="1">IF(ISNUMBER(properties[[#This Row],[archivedDate]]),properties[[#This Row],[archivedDate]]-properties[[#This Row],[addedDate]],TODAY()-properties[[#This Row],[addedDate]])</f>
        <v>34</v>
      </c>
    </row>
    <row r="270" spans="1:25" x14ac:dyDescent="0.25">
      <c r="A270" s="1">
        <v>45933</v>
      </c>
      <c r="B270" t="s">
        <v>973</v>
      </c>
      <c r="C270" t="s">
        <v>372</v>
      </c>
      <c r="D270" s="1">
        <v>46107</v>
      </c>
      <c r="E270" t="s">
        <v>52</v>
      </c>
      <c r="F270">
        <v>0</v>
      </c>
      <c r="G270" t="s">
        <v>974</v>
      </c>
      <c r="H270" t="s">
        <v>975</v>
      </c>
      <c r="I270">
        <v>0</v>
      </c>
      <c r="J270">
        <v>1224</v>
      </c>
      <c r="K270">
        <v>150000</v>
      </c>
      <c r="L270" t="s">
        <v>28</v>
      </c>
      <c r="M270">
        <v>295000</v>
      </c>
      <c r="N270">
        <v>0</v>
      </c>
      <c r="O270" t="s">
        <v>103</v>
      </c>
      <c r="P270" t="s">
        <v>98</v>
      </c>
      <c r="Q270" t="s">
        <v>43</v>
      </c>
      <c r="R270" t="s">
        <v>372</v>
      </c>
      <c r="S270" t="s">
        <v>43</v>
      </c>
      <c r="U270">
        <v>122.54901960784314</v>
      </c>
      <c r="W270">
        <v>241.01307189542484</v>
      </c>
      <c r="X270">
        <f ca="1">IF(ISNUMBER(properties[[#This Row],[archivedDate]]),properties[[#This Row],[archivedDate]]-properties[[#This Row],[addedDate]],TODAY()-properties[[#This Row],[addedDate]])</f>
        <v>174</v>
      </c>
      <c r="Y270">
        <f ca="1">IF(ISNUMBER(properties[[#This Row],[archivedDate]]),properties[[#This Row],[archivedDate]]-properties[[#This Row],[addedDate]],TODAY()-properties[[#This Row],[addedDate]])</f>
        <v>174</v>
      </c>
    </row>
    <row r="271" spans="1:25" x14ac:dyDescent="0.25">
      <c r="A271" s="1">
        <v>45936</v>
      </c>
      <c r="B271" t="s">
        <v>976</v>
      </c>
      <c r="C271" t="s">
        <v>120</v>
      </c>
      <c r="D271" s="1">
        <v>45980</v>
      </c>
      <c r="E271" t="s">
        <v>34</v>
      </c>
      <c r="F271">
        <v>0</v>
      </c>
      <c r="G271" t="s">
        <v>977</v>
      </c>
      <c r="H271" t="s">
        <v>978</v>
      </c>
      <c r="I271">
        <v>196</v>
      </c>
      <c r="J271">
        <v>249</v>
      </c>
      <c r="K271">
        <v>5000000</v>
      </c>
      <c r="L271" t="s">
        <v>28</v>
      </c>
      <c r="M271">
        <v>4295000</v>
      </c>
      <c r="N271">
        <v>0</v>
      </c>
      <c r="O271" t="s">
        <v>103</v>
      </c>
      <c r="P271" t="s">
        <v>297</v>
      </c>
      <c r="Q271" t="s">
        <v>43</v>
      </c>
      <c r="R271" t="s">
        <v>124</v>
      </c>
      <c r="S271" t="s">
        <v>979</v>
      </c>
      <c r="T271">
        <v>25510.204081632652</v>
      </c>
      <c r="U271">
        <v>20080.321285140562</v>
      </c>
      <c r="V271">
        <v>21913.265306122448</v>
      </c>
      <c r="W271">
        <v>17248.995983935743</v>
      </c>
      <c r="X271">
        <f ca="1">IF(ISNUMBER(properties[[#This Row],[archivedDate]]),properties[[#This Row],[archivedDate]]-properties[[#This Row],[addedDate]],TODAY()-properties[[#This Row],[addedDate]])</f>
        <v>44</v>
      </c>
      <c r="Y271">
        <f ca="1">IF(ISNUMBER(properties[[#This Row],[archivedDate]]),properties[[#This Row],[archivedDate]]-properties[[#This Row],[addedDate]],TODAY()-properties[[#This Row],[addedDate]])</f>
        <v>44</v>
      </c>
    </row>
    <row r="272" spans="1:25" x14ac:dyDescent="0.25">
      <c r="A272" s="1">
        <v>45936</v>
      </c>
      <c r="B272" t="s">
        <v>980</v>
      </c>
      <c r="C272" t="s">
        <v>372</v>
      </c>
      <c r="D272" s="1">
        <v>46093</v>
      </c>
      <c r="E272" t="s">
        <v>200</v>
      </c>
      <c r="F272">
        <v>2</v>
      </c>
      <c r="G272" t="s">
        <v>981</v>
      </c>
      <c r="H272" t="s">
        <v>982</v>
      </c>
      <c r="I272">
        <v>270</v>
      </c>
      <c r="J272">
        <v>1049</v>
      </c>
      <c r="K272">
        <v>0</v>
      </c>
      <c r="L272" t="s">
        <v>28</v>
      </c>
      <c r="M272">
        <v>2300000</v>
      </c>
      <c r="N272">
        <v>0</v>
      </c>
      <c r="O272" t="s">
        <v>103</v>
      </c>
      <c r="P272" t="s">
        <v>30</v>
      </c>
      <c r="Q272" t="s">
        <v>43</v>
      </c>
      <c r="R272" t="s">
        <v>372</v>
      </c>
      <c r="S272" t="s">
        <v>43</v>
      </c>
      <c r="V272">
        <v>8518.5185185185182</v>
      </c>
      <c r="W272">
        <v>2192.5643469971401</v>
      </c>
      <c r="X272">
        <f ca="1">IF(ISNUMBER(properties[[#This Row],[archivedDate]]),properties[[#This Row],[archivedDate]]-properties[[#This Row],[addedDate]],TODAY()-properties[[#This Row],[addedDate]])</f>
        <v>157</v>
      </c>
      <c r="Y272">
        <f ca="1">IF(ISNUMBER(properties[[#This Row],[archivedDate]]),properties[[#This Row],[archivedDate]]-properties[[#This Row],[addedDate]],TODAY()-properties[[#This Row],[addedDate]])</f>
        <v>157</v>
      </c>
    </row>
    <row r="273" spans="1:25" x14ac:dyDescent="0.25">
      <c r="A273" s="1">
        <v>45938</v>
      </c>
      <c r="B273" t="s">
        <v>983</v>
      </c>
      <c r="C273" t="s">
        <v>372</v>
      </c>
      <c r="D273" s="1">
        <v>45960</v>
      </c>
      <c r="E273" t="s">
        <v>146</v>
      </c>
      <c r="F273">
        <v>1</v>
      </c>
      <c r="G273" t="s">
        <v>984</v>
      </c>
      <c r="H273" t="s">
        <v>969</v>
      </c>
      <c r="I273">
        <v>56</v>
      </c>
      <c r="J273">
        <v>427</v>
      </c>
      <c r="K273">
        <v>625000</v>
      </c>
      <c r="L273" t="s">
        <v>28</v>
      </c>
      <c r="M273">
        <v>595000</v>
      </c>
      <c r="N273">
        <v>0</v>
      </c>
      <c r="O273" t="s">
        <v>103</v>
      </c>
      <c r="P273" t="s">
        <v>30</v>
      </c>
      <c r="Q273" t="s">
        <v>43</v>
      </c>
      <c r="R273" t="s">
        <v>372</v>
      </c>
      <c r="S273" t="s">
        <v>43</v>
      </c>
      <c r="T273">
        <v>11160.714285714286</v>
      </c>
      <c r="U273">
        <v>1463.7002341920374</v>
      </c>
      <c r="V273">
        <v>10625</v>
      </c>
      <c r="W273">
        <v>1393.4426229508197</v>
      </c>
      <c r="X273">
        <f ca="1">IF(ISNUMBER(properties[[#This Row],[archivedDate]]),properties[[#This Row],[archivedDate]]-properties[[#This Row],[addedDate]],TODAY()-properties[[#This Row],[addedDate]])</f>
        <v>22</v>
      </c>
      <c r="Y273">
        <f ca="1">IF(ISNUMBER(properties[[#This Row],[archivedDate]]),properties[[#This Row],[archivedDate]]-properties[[#This Row],[addedDate]],TODAY()-properties[[#This Row],[addedDate]])</f>
        <v>22</v>
      </c>
    </row>
    <row r="274" spans="1:25" x14ac:dyDescent="0.25">
      <c r="A274" s="1">
        <v>45939</v>
      </c>
      <c r="B274" t="s">
        <v>985</v>
      </c>
      <c r="C274" t="s">
        <v>372</v>
      </c>
      <c r="D274" s="1">
        <v>45979</v>
      </c>
      <c r="E274" t="s">
        <v>141</v>
      </c>
      <c r="F274">
        <v>3</v>
      </c>
      <c r="G274" t="s">
        <v>986</v>
      </c>
      <c r="H274" t="s">
        <v>987</v>
      </c>
      <c r="I274">
        <v>175</v>
      </c>
      <c r="J274">
        <v>266</v>
      </c>
      <c r="K274">
        <v>1750000</v>
      </c>
      <c r="L274" t="s">
        <v>28</v>
      </c>
      <c r="M274">
        <v>1950000</v>
      </c>
      <c r="N274">
        <v>0</v>
      </c>
      <c r="O274" t="s">
        <v>103</v>
      </c>
      <c r="P274" t="s">
        <v>30</v>
      </c>
      <c r="Q274" t="s">
        <v>43</v>
      </c>
      <c r="R274" t="s">
        <v>372</v>
      </c>
      <c r="S274" t="s">
        <v>43</v>
      </c>
      <c r="T274">
        <v>10000</v>
      </c>
      <c r="U274">
        <v>6578.9473684210525</v>
      </c>
      <c r="V274">
        <v>11142.857142857143</v>
      </c>
      <c r="W274">
        <v>7330.8270676691727</v>
      </c>
      <c r="X274">
        <f ca="1">IF(ISNUMBER(properties[[#This Row],[archivedDate]]),properties[[#This Row],[archivedDate]]-properties[[#This Row],[addedDate]],TODAY()-properties[[#This Row],[addedDate]])</f>
        <v>40</v>
      </c>
      <c r="Y274">
        <f ca="1">IF(ISNUMBER(properties[[#This Row],[archivedDate]]),properties[[#This Row],[archivedDate]]-properties[[#This Row],[addedDate]],TODAY()-properties[[#This Row],[addedDate]])</f>
        <v>40</v>
      </c>
    </row>
    <row r="275" spans="1:25" x14ac:dyDescent="0.25">
      <c r="A275" s="1">
        <v>45943</v>
      </c>
      <c r="B275" t="s">
        <v>988</v>
      </c>
      <c r="C275" t="s">
        <v>120</v>
      </c>
      <c r="D275" s="1">
        <v>46038</v>
      </c>
      <c r="E275" t="s">
        <v>215</v>
      </c>
      <c r="F275">
        <v>0</v>
      </c>
      <c r="G275" t="s">
        <v>989</v>
      </c>
      <c r="H275" t="s">
        <v>990</v>
      </c>
      <c r="I275">
        <v>46</v>
      </c>
      <c r="J275">
        <v>46</v>
      </c>
      <c r="K275">
        <v>0</v>
      </c>
      <c r="L275" t="s">
        <v>28</v>
      </c>
      <c r="M275">
        <v>2495000</v>
      </c>
      <c r="N275">
        <v>0</v>
      </c>
      <c r="O275" t="s">
        <v>103</v>
      </c>
      <c r="P275" t="s">
        <v>123</v>
      </c>
      <c r="Q275" t="s">
        <v>43</v>
      </c>
      <c r="R275" t="s">
        <v>124</v>
      </c>
      <c r="S275" t="s">
        <v>43</v>
      </c>
      <c r="V275">
        <v>54239.130434782608</v>
      </c>
      <c r="W275">
        <v>54239.130434782608</v>
      </c>
      <c r="X275">
        <f ca="1">IF(ISNUMBER(properties[[#This Row],[archivedDate]]),properties[[#This Row],[archivedDate]]-properties[[#This Row],[addedDate]],TODAY()-properties[[#This Row],[addedDate]])</f>
        <v>95</v>
      </c>
      <c r="Y275">
        <f ca="1">IF(ISNUMBER(properties[[#This Row],[archivedDate]]),properties[[#This Row],[archivedDate]]-properties[[#This Row],[addedDate]],TODAY()-properties[[#This Row],[addedDate]])</f>
        <v>95</v>
      </c>
    </row>
    <row r="276" spans="1:25" x14ac:dyDescent="0.25">
      <c r="A276" s="1">
        <v>45943</v>
      </c>
      <c r="B276" t="s">
        <v>991</v>
      </c>
      <c r="C276" t="s">
        <v>120</v>
      </c>
      <c r="D276" s="1">
        <v>46029</v>
      </c>
      <c r="E276" t="s">
        <v>34</v>
      </c>
      <c r="F276">
        <v>0</v>
      </c>
      <c r="G276" t="s">
        <v>992</v>
      </c>
      <c r="H276" t="s">
        <v>993</v>
      </c>
      <c r="I276">
        <v>412</v>
      </c>
      <c r="J276">
        <v>412</v>
      </c>
      <c r="K276">
        <v>0</v>
      </c>
      <c r="L276" t="s">
        <v>28</v>
      </c>
      <c r="M276">
        <v>2200000</v>
      </c>
      <c r="N276">
        <v>0</v>
      </c>
      <c r="O276" t="s">
        <v>103</v>
      </c>
      <c r="P276" t="s">
        <v>98</v>
      </c>
      <c r="Q276" t="s">
        <v>43</v>
      </c>
      <c r="R276" t="s">
        <v>124</v>
      </c>
      <c r="S276" t="s">
        <v>43</v>
      </c>
      <c r="V276">
        <v>5339.8058252427181</v>
      </c>
      <c r="W276">
        <v>5339.8058252427181</v>
      </c>
      <c r="X276">
        <f ca="1">IF(ISNUMBER(properties[[#This Row],[archivedDate]]),properties[[#This Row],[archivedDate]]-properties[[#This Row],[addedDate]],TODAY()-properties[[#This Row],[addedDate]])</f>
        <v>86</v>
      </c>
      <c r="Y276">
        <f ca="1">IF(ISNUMBER(properties[[#This Row],[archivedDate]]),properties[[#This Row],[archivedDate]]-properties[[#This Row],[addedDate]],TODAY()-properties[[#This Row],[addedDate]])</f>
        <v>86</v>
      </c>
    </row>
    <row r="277" spans="1:25" x14ac:dyDescent="0.25">
      <c r="A277" s="1">
        <v>45945</v>
      </c>
      <c r="B277" t="s">
        <v>994</v>
      </c>
      <c r="C277" t="s">
        <v>120</v>
      </c>
      <c r="D277" s="1">
        <v>46056</v>
      </c>
      <c r="E277" t="s">
        <v>34</v>
      </c>
      <c r="F277">
        <v>0</v>
      </c>
      <c r="G277" t="s">
        <v>995</v>
      </c>
      <c r="H277" t="s">
        <v>996</v>
      </c>
      <c r="I277">
        <v>289</v>
      </c>
      <c r="J277">
        <v>754</v>
      </c>
      <c r="K277">
        <v>0</v>
      </c>
      <c r="L277" t="s">
        <v>28</v>
      </c>
      <c r="M277">
        <v>4995000</v>
      </c>
      <c r="N277">
        <v>0</v>
      </c>
      <c r="O277" t="s">
        <v>103</v>
      </c>
      <c r="P277" t="s">
        <v>30</v>
      </c>
      <c r="Q277" t="s">
        <v>43</v>
      </c>
      <c r="R277" t="s">
        <v>124</v>
      </c>
      <c r="S277" t="s">
        <v>997</v>
      </c>
      <c r="V277">
        <v>17283.737024221453</v>
      </c>
      <c r="W277">
        <v>6624.6684350132628</v>
      </c>
      <c r="X277">
        <f ca="1">IF(ISNUMBER(properties[[#This Row],[archivedDate]]),properties[[#This Row],[archivedDate]]-properties[[#This Row],[addedDate]],TODAY()-properties[[#This Row],[addedDate]])</f>
        <v>111</v>
      </c>
      <c r="Y277">
        <f ca="1">IF(ISNUMBER(properties[[#This Row],[archivedDate]]),properties[[#This Row],[archivedDate]]-properties[[#This Row],[addedDate]],TODAY()-properties[[#This Row],[addedDate]])</f>
        <v>111</v>
      </c>
    </row>
    <row r="278" spans="1:25" x14ac:dyDescent="0.25">
      <c r="A278" s="1">
        <v>45945</v>
      </c>
      <c r="B278" t="s">
        <v>998</v>
      </c>
      <c r="C278" t="s">
        <v>372</v>
      </c>
      <c r="D278" s="1">
        <v>46065</v>
      </c>
      <c r="E278" t="s">
        <v>316</v>
      </c>
      <c r="F278">
        <v>2</v>
      </c>
      <c r="G278" t="s">
        <v>999</v>
      </c>
      <c r="H278" t="s">
        <v>1000</v>
      </c>
      <c r="I278">
        <v>198</v>
      </c>
      <c r="J278">
        <v>383</v>
      </c>
      <c r="K278">
        <v>2200000</v>
      </c>
      <c r="L278" t="s">
        <v>28</v>
      </c>
      <c r="M278">
        <v>2995000</v>
      </c>
      <c r="N278">
        <v>0</v>
      </c>
      <c r="O278" t="s">
        <v>103</v>
      </c>
      <c r="P278" t="s">
        <v>30</v>
      </c>
      <c r="Q278" t="s">
        <v>43</v>
      </c>
      <c r="R278" t="s">
        <v>372</v>
      </c>
      <c r="S278" t="s">
        <v>43</v>
      </c>
      <c r="T278">
        <v>11111.111111111111</v>
      </c>
      <c r="U278">
        <v>5744.1253263707567</v>
      </c>
      <c r="V278">
        <v>15126.262626262625</v>
      </c>
      <c r="W278">
        <v>7819.8433420365536</v>
      </c>
      <c r="X278">
        <f ca="1">IF(ISNUMBER(properties[[#This Row],[archivedDate]]),properties[[#This Row],[archivedDate]]-properties[[#This Row],[addedDate]],TODAY()-properties[[#This Row],[addedDate]])</f>
        <v>120</v>
      </c>
      <c r="Y278">
        <f ca="1">IF(ISNUMBER(properties[[#This Row],[archivedDate]]),properties[[#This Row],[archivedDate]]-properties[[#This Row],[addedDate]],TODAY()-properties[[#This Row],[addedDate]])</f>
        <v>120</v>
      </c>
    </row>
    <row r="279" spans="1:25" x14ac:dyDescent="0.25">
      <c r="A279" s="1">
        <v>45945</v>
      </c>
      <c r="B279" t="s">
        <v>1001</v>
      </c>
      <c r="C279" t="s">
        <v>372</v>
      </c>
      <c r="D279" s="1">
        <v>45975</v>
      </c>
      <c r="E279" t="s">
        <v>34</v>
      </c>
      <c r="F279">
        <v>2</v>
      </c>
      <c r="G279" t="s">
        <v>1002</v>
      </c>
      <c r="H279" t="s">
        <v>1003</v>
      </c>
      <c r="I279">
        <v>253</v>
      </c>
      <c r="J279">
        <v>505</v>
      </c>
      <c r="K279">
        <v>5200000</v>
      </c>
      <c r="L279" t="s">
        <v>28</v>
      </c>
      <c r="M279">
        <v>4900000</v>
      </c>
      <c r="N279">
        <v>0</v>
      </c>
      <c r="O279" t="s">
        <v>103</v>
      </c>
      <c r="P279" t="s">
        <v>30</v>
      </c>
      <c r="Q279" t="s">
        <v>43</v>
      </c>
      <c r="R279" t="s">
        <v>372</v>
      </c>
      <c r="S279" t="s">
        <v>43</v>
      </c>
      <c r="T279">
        <v>20553.359683794468</v>
      </c>
      <c r="U279">
        <v>10297.029702970298</v>
      </c>
      <c r="V279">
        <v>19367.588932806324</v>
      </c>
      <c r="W279">
        <v>9702.9702970297021</v>
      </c>
      <c r="X279">
        <f ca="1">IF(ISNUMBER(properties[[#This Row],[archivedDate]]),properties[[#This Row],[archivedDate]]-properties[[#This Row],[addedDate]],TODAY()-properties[[#This Row],[addedDate]])</f>
        <v>30</v>
      </c>
      <c r="Y279">
        <f ca="1">IF(ISNUMBER(properties[[#This Row],[archivedDate]]),properties[[#This Row],[archivedDate]]-properties[[#This Row],[addedDate]],TODAY()-properties[[#This Row],[addedDate]])</f>
        <v>30</v>
      </c>
    </row>
    <row r="280" spans="1:25" x14ac:dyDescent="0.25">
      <c r="A280" s="1">
        <v>45946</v>
      </c>
      <c r="B280" t="s">
        <v>1004</v>
      </c>
      <c r="C280" t="s">
        <v>120</v>
      </c>
      <c r="D280" s="1"/>
      <c r="E280" t="s">
        <v>34</v>
      </c>
      <c r="F280">
        <v>0</v>
      </c>
      <c r="G280" t="s">
        <v>1005</v>
      </c>
      <c r="H280" t="s">
        <v>1006</v>
      </c>
      <c r="I280">
        <v>300</v>
      </c>
      <c r="J280">
        <v>858</v>
      </c>
      <c r="K280">
        <v>4000000</v>
      </c>
      <c r="L280" t="s">
        <v>28</v>
      </c>
      <c r="M280">
        <v>4800000</v>
      </c>
      <c r="N280">
        <v>0</v>
      </c>
      <c r="O280" t="s">
        <v>29</v>
      </c>
      <c r="P280" t="s">
        <v>30</v>
      </c>
      <c r="Q280" t="s">
        <v>43</v>
      </c>
      <c r="R280" t="s">
        <v>124</v>
      </c>
      <c r="S280" t="s">
        <v>43</v>
      </c>
      <c r="T280">
        <v>13333.333333333334</v>
      </c>
      <c r="U280">
        <v>4662.0046620046624</v>
      </c>
      <c r="V280">
        <v>16000</v>
      </c>
      <c r="W280">
        <v>5594.4055944055945</v>
      </c>
      <c r="X280">
        <f ca="1">IF(ISNUMBER(properties[[#This Row],[archivedDate]]),properties[[#This Row],[archivedDate]]-properties[[#This Row],[addedDate]],TODAY()-properties[[#This Row],[addedDate]])</f>
        <v>173</v>
      </c>
      <c r="Y280">
        <f ca="1">IF(ISNUMBER(properties[[#This Row],[archivedDate]]),properties[[#This Row],[archivedDate]]-properties[[#This Row],[addedDate]],TODAY()-properties[[#This Row],[addedDate]])</f>
        <v>173</v>
      </c>
    </row>
    <row r="281" spans="1:25" x14ac:dyDescent="0.25">
      <c r="A281" s="1">
        <v>45947</v>
      </c>
      <c r="B281" t="s">
        <v>1007</v>
      </c>
      <c r="C281" t="s">
        <v>120</v>
      </c>
      <c r="D281" s="1">
        <v>46105</v>
      </c>
      <c r="E281" t="s">
        <v>515</v>
      </c>
      <c r="F281">
        <v>0</v>
      </c>
      <c r="G281" t="s">
        <v>1008</v>
      </c>
      <c r="H281" t="s">
        <v>1009</v>
      </c>
      <c r="I281">
        <v>45</v>
      </c>
      <c r="J281">
        <v>648</v>
      </c>
      <c r="K281">
        <v>871000</v>
      </c>
      <c r="L281" t="s">
        <v>28</v>
      </c>
      <c r="M281">
        <v>1150000</v>
      </c>
      <c r="N281">
        <v>0</v>
      </c>
      <c r="O281" t="s">
        <v>103</v>
      </c>
      <c r="P281" t="s">
        <v>30</v>
      </c>
      <c r="Q281" t="s">
        <v>43</v>
      </c>
      <c r="R281" t="s">
        <v>124</v>
      </c>
      <c r="S281" t="s">
        <v>43</v>
      </c>
      <c r="T281">
        <v>19355.555555555555</v>
      </c>
      <c r="U281">
        <v>1344.1358024691358</v>
      </c>
      <c r="V281">
        <v>25555.555555555555</v>
      </c>
      <c r="W281">
        <v>1774.6913580246915</v>
      </c>
      <c r="X281">
        <f ca="1">IF(ISNUMBER(properties[[#This Row],[archivedDate]]),properties[[#This Row],[archivedDate]]-properties[[#This Row],[addedDate]],TODAY()-properties[[#This Row],[addedDate]])</f>
        <v>158</v>
      </c>
      <c r="Y281">
        <f ca="1">IF(ISNUMBER(properties[[#This Row],[archivedDate]]),properties[[#This Row],[archivedDate]]-properties[[#This Row],[addedDate]],TODAY()-properties[[#This Row],[addedDate]])</f>
        <v>158</v>
      </c>
    </row>
    <row r="282" spans="1:25" x14ac:dyDescent="0.25">
      <c r="A282" s="1">
        <v>45947</v>
      </c>
      <c r="B282" t="s">
        <v>1010</v>
      </c>
      <c r="C282" t="s">
        <v>372</v>
      </c>
      <c r="D282" s="1"/>
      <c r="E282" t="s">
        <v>52</v>
      </c>
      <c r="F282">
        <v>3</v>
      </c>
      <c r="G282" t="s">
        <v>1011</v>
      </c>
      <c r="H282" t="s">
        <v>1012</v>
      </c>
      <c r="I282">
        <v>217</v>
      </c>
      <c r="J282">
        <v>378</v>
      </c>
      <c r="K282">
        <v>1800000</v>
      </c>
      <c r="L282" t="s">
        <v>28</v>
      </c>
      <c r="M282">
        <v>2500000</v>
      </c>
      <c r="N282">
        <v>0</v>
      </c>
      <c r="O282" t="s">
        <v>29</v>
      </c>
      <c r="P282" t="s">
        <v>30</v>
      </c>
      <c r="Q282" t="s">
        <v>43</v>
      </c>
      <c r="R282" t="s">
        <v>372</v>
      </c>
      <c r="S282" t="s">
        <v>43</v>
      </c>
      <c r="T282">
        <v>8294.9308755760376</v>
      </c>
      <c r="U282">
        <v>4761.9047619047615</v>
      </c>
      <c r="V282">
        <v>11520.737327188941</v>
      </c>
      <c r="W282">
        <v>6613.7566137566137</v>
      </c>
      <c r="X282">
        <f ca="1">IF(ISNUMBER(properties[[#This Row],[archivedDate]]),properties[[#This Row],[archivedDate]]-properties[[#This Row],[addedDate]],TODAY()-properties[[#This Row],[addedDate]])</f>
        <v>172</v>
      </c>
      <c r="Y282">
        <f ca="1">IF(ISNUMBER(properties[[#This Row],[archivedDate]]),properties[[#This Row],[archivedDate]]-properties[[#This Row],[addedDate]],TODAY()-properties[[#This Row],[addedDate]])</f>
        <v>172</v>
      </c>
    </row>
    <row r="283" spans="1:25" x14ac:dyDescent="0.25">
      <c r="A283" s="1">
        <v>45950</v>
      </c>
      <c r="B283" t="s">
        <v>1013</v>
      </c>
      <c r="C283" t="s">
        <v>120</v>
      </c>
      <c r="D283" s="1">
        <v>46083</v>
      </c>
      <c r="E283" t="s">
        <v>34</v>
      </c>
      <c r="F283">
        <v>0</v>
      </c>
      <c r="G283" t="s">
        <v>1014</v>
      </c>
      <c r="H283" t="s">
        <v>1015</v>
      </c>
      <c r="I283">
        <v>79</v>
      </c>
      <c r="J283">
        <v>79</v>
      </c>
      <c r="K283">
        <v>2900000</v>
      </c>
      <c r="L283" t="s">
        <v>28</v>
      </c>
      <c r="M283">
        <v>3200000</v>
      </c>
      <c r="N283">
        <v>0</v>
      </c>
      <c r="O283" t="s">
        <v>103</v>
      </c>
      <c r="P283" t="s">
        <v>123</v>
      </c>
      <c r="Q283" t="s">
        <v>43</v>
      </c>
      <c r="R283" t="s">
        <v>124</v>
      </c>
      <c r="S283" t="s">
        <v>1016</v>
      </c>
      <c r="T283">
        <v>36708.860759493669</v>
      </c>
      <c r="U283">
        <v>36708.860759493669</v>
      </c>
      <c r="V283">
        <v>40506.329113924054</v>
      </c>
      <c r="W283">
        <v>40506.329113924054</v>
      </c>
      <c r="X283">
        <f ca="1">IF(ISNUMBER(properties[[#This Row],[archivedDate]]),properties[[#This Row],[archivedDate]]-properties[[#This Row],[addedDate]],TODAY()-properties[[#This Row],[addedDate]])</f>
        <v>133</v>
      </c>
      <c r="Y283">
        <f ca="1">IF(ISNUMBER(properties[[#This Row],[archivedDate]]),properties[[#This Row],[archivedDate]]-properties[[#This Row],[addedDate]],TODAY()-properties[[#This Row],[addedDate]])</f>
        <v>133</v>
      </c>
    </row>
    <row r="284" spans="1:25" x14ac:dyDescent="0.25">
      <c r="A284" s="1">
        <v>45950</v>
      </c>
      <c r="B284" t="s">
        <v>1017</v>
      </c>
      <c r="C284" t="s">
        <v>372</v>
      </c>
      <c r="D284" s="1">
        <v>46035</v>
      </c>
      <c r="E284" t="s">
        <v>63</v>
      </c>
      <c r="F284">
        <v>2</v>
      </c>
      <c r="G284" t="s">
        <v>1018</v>
      </c>
      <c r="H284" t="s">
        <v>1019</v>
      </c>
      <c r="I284">
        <v>260</v>
      </c>
      <c r="J284">
        <v>3035</v>
      </c>
      <c r="K284">
        <v>1800000</v>
      </c>
      <c r="L284" t="s">
        <v>28</v>
      </c>
      <c r="M284">
        <v>1975000</v>
      </c>
      <c r="N284">
        <v>0</v>
      </c>
      <c r="O284" t="s">
        <v>103</v>
      </c>
      <c r="P284" t="s">
        <v>30</v>
      </c>
      <c r="Q284" t="s">
        <v>43</v>
      </c>
      <c r="R284" t="s">
        <v>372</v>
      </c>
      <c r="S284" t="s">
        <v>43</v>
      </c>
      <c r="T284">
        <v>6923.0769230769229</v>
      </c>
      <c r="U284">
        <v>593.08072487644154</v>
      </c>
      <c r="V284">
        <v>7596.1538461538457</v>
      </c>
      <c r="W284">
        <v>650.74135090609559</v>
      </c>
      <c r="X284">
        <f ca="1">IF(ISNUMBER(properties[[#This Row],[archivedDate]]),properties[[#This Row],[archivedDate]]-properties[[#This Row],[addedDate]],TODAY()-properties[[#This Row],[addedDate]])</f>
        <v>85</v>
      </c>
      <c r="Y284">
        <f ca="1">IF(ISNUMBER(properties[[#This Row],[archivedDate]]),properties[[#This Row],[archivedDate]]-properties[[#This Row],[addedDate]],TODAY()-properties[[#This Row],[addedDate]])</f>
        <v>85</v>
      </c>
    </row>
    <row r="285" spans="1:25" x14ac:dyDescent="0.25">
      <c r="A285" s="1">
        <v>45950</v>
      </c>
      <c r="B285" t="s">
        <v>1020</v>
      </c>
      <c r="C285" t="s">
        <v>372</v>
      </c>
      <c r="D285" s="1">
        <v>45989</v>
      </c>
      <c r="E285" t="s">
        <v>1021</v>
      </c>
      <c r="F285">
        <v>3</v>
      </c>
      <c r="G285" t="s">
        <v>1022</v>
      </c>
      <c r="H285" t="s">
        <v>1023</v>
      </c>
      <c r="I285">
        <v>285</v>
      </c>
      <c r="J285">
        <v>620</v>
      </c>
      <c r="K285">
        <v>3395000</v>
      </c>
      <c r="L285" t="s">
        <v>28</v>
      </c>
      <c r="M285">
        <v>3395000</v>
      </c>
      <c r="N285">
        <v>0</v>
      </c>
      <c r="O285" t="s">
        <v>103</v>
      </c>
      <c r="P285" t="s">
        <v>30</v>
      </c>
      <c r="Q285" t="s">
        <v>43</v>
      </c>
      <c r="R285" t="s">
        <v>372</v>
      </c>
      <c r="S285" t="s">
        <v>43</v>
      </c>
      <c r="T285">
        <v>11912.280701754386</v>
      </c>
      <c r="U285">
        <v>5475.8064516129034</v>
      </c>
      <c r="V285">
        <v>11912.280701754386</v>
      </c>
      <c r="W285">
        <v>5475.8064516129034</v>
      </c>
      <c r="X285">
        <f ca="1">IF(ISNUMBER(properties[[#This Row],[archivedDate]]),properties[[#This Row],[archivedDate]]-properties[[#This Row],[addedDate]],TODAY()-properties[[#This Row],[addedDate]])</f>
        <v>39</v>
      </c>
      <c r="Y285">
        <f ca="1">IF(ISNUMBER(properties[[#This Row],[archivedDate]]),properties[[#This Row],[archivedDate]]-properties[[#This Row],[addedDate]],TODAY()-properties[[#This Row],[addedDate]])</f>
        <v>39</v>
      </c>
    </row>
    <row r="286" spans="1:25" x14ac:dyDescent="0.25">
      <c r="A286" s="1">
        <v>45951</v>
      </c>
      <c r="B286" t="s">
        <v>1024</v>
      </c>
      <c r="C286" t="s">
        <v>372</v>
      </c>
      <c r="D286" s="1">
        <v>46027</v>
      </c>
      <c r="E286" t="s">
        <v>316</v>
      </c>
      <c r="F286">
        <v>1</v>
      </c>
      <c r="G286" t="s">
        <v>1025</v>
      </c>
      <c r="H286" t="s">
        <v>1026</v>
      </c>
      <c r="I286">
        <v>53</v>
      </c>
      <c r="J286">
        <v>232</v>
      </c>
      <c r="K286">
        <v>1900000</v>
      </c>
      <c r="L286" t="s">
        <v>28</v>
      </c>
      <c r="M286">
        <v>2395000</v>
      </c>
      <c r="N286">
        <v>0</v>
      </c>
      <c r="O286" t="s">
        <v>103</v>
      </c>
      <c r="P286" t="s">
        <v>30</v>
      </c>
      <c r="Q286" t="s">
        <v>43</v>
      </c>
      <c r="R286" t="s">
        <v>372</v>
      </c>
      <c r="S286" t="s">
        <v>43</v>
      </c>
      <c r="T286">
        <v>35849.056603773584</v>
      </c>
      <c r="U286">
        <v>8189.6551724137935</v>
      </c>
      <c r="V286">
        <v>45188.67924528302</v>
      </c>
      <c r="W286">
        <v>10323.275862068966</v>
      </c>
      <c r="X286">
        <f ca="1">IF(ISNUMBER(properties[[#This Row],[archivedDate]]),properties[[#This Row],[archivedDate]]-properties[[#This Row],[addedDate]],TODAY()-properties[[#This Row],[addedDate]])</f>
        <v>76</v>
      </c>
      <c r="Y286">
        <f ca="1">IF(ISNUMBER(properties[[#This Row],[archivedDate]]),properties[[#This Row],[archivedDate]]-properties[[#This Row],[addedDate]],TODAY()-properties[[#This Row],[addedDate]])</f>
        <v>76</v>
      </c>
    </row>
    <row r="287" spans="1:25" x14ac:dyDescent="0.25">
      <c r="A287" s="1">
        <v>45954</v>
      </c>
      <c r="B287" t="s">
        <v>1027</v>
      </c>
      <c r="C287" t="s">
        <v>372</v>
      </c>
      <c r="D287" s="1">
        <v>45978</v>
      </c>
      <c r="E287" t="s">
        <v>505</v>
      </c>
      <c r="F287">
        <v>3</v>
      </c>
      <c r="G287" t="s">
        <v>1028</v>
      </c>
      <c r="H287" t="s">
        <v>1029</v>
      </c>
      <c r="I287">
        <v>191</v>
      </c>
      <c r="J287">
        <v>1103</v>
      </c>
      <c r="K287">
        <v>1800000</v>
      </c>
      <c r="L287" t="s">
        <v>28</v>
      </c>
      <c r="M287">
        <v>1600000</v>
      </c>
      <c r="N287">
        <v>0</v>
      </c>
      <c r="O287" t="s">
        <v>103</v>
      </c>
      <c r="P287" t="s">
        <v>30</v>
      </c>
      <c r="Q287" t="s">
        <v>43</v>
      </c>
      <c r="R287" t="s">
        <v>372</v>
      </c>
      <c r="S287" t="s">
        <v>43</v>
      </c>
      <c r="T287">
        <v>9424.0837696335075</v>
      </c>
      <c r="U287">
        <v>1631.9129646418858</v>
      </c>
      <c r="V287">
        <v>8376.9633507853396</v>
      </c>
      <c r="W287">
        <v>1450.5893019038986</v>
      </c>
      <c r="X287">
        <f ca="1">IF(ISNUMBER(properties[[#This Row],[archivedDate]]),properties[[#This Row],[archivedDate]]-properties[[#This Row],[addedDate]],TODAY()-properties[[#This Row],[addedDate]])</f>
        <v>24</v>
      </c>
      <c r="Y287">
        <f ca="1">IF(ISNUMBER(properties[[#This Row],[archivedDate]]),properties[[#This Row],[archivedDate]]-properties[[#This Row],[addedDate]],TODAY()-properties[[#This Row],[addedDate]])</f>
        <v>24</v>
      </c>
    </row>
    <row r="288" spans="1:25" x14ac:dyDescent="0.25">
      <c r="A288" s="1">
        <v>45954</v>
      </c>
      <c r="B288" t="s">
        <v>1030</v>
      </c>
      <c r="C288" t="s">
        <v>372</v>
      </c>
      <c r="D288" s="1">
        <v>45986</v>
      </c>
      <c r="E288" t="s">
        <v>316</v>
      </c>
      <c r="F288">
        <v>3</v>
      </c>
      <c r="G288" t="s">
        <v>1031</v>
      </c>
      <c r="H288" t="s">
        <v>1032</v>
      </c>
      <c r="I288">
        <v>159</v>
      </c>
      <c r="J288">
        <v>230</v>
      </c>
      <c r="K288">
        <v>2995000</v>
      </c>
      <c r="L288" t="s">
        <v>28</v>
      </c>
      <c r="M288">
        <v>2995000</v>
      </c>
      <c r="N288">
        <v>0</v>
      </c>
      <c r="O288" t="s">
        <v>103</v>
      </c>
      <c r="P288" t="s">
        <v>30</v>
      </c>
      <c r="Q288" t="s">
        <v>43</v>
      </c>
      <c r="R288" t="s">
        <v>372</v>
      </c>
      <c r="S288" t="s">
        <v>43</v>
      </c>
      <c r="T288">
        <v>18836.477987421382</v>
      </c>
      <c r="U288">
        <v>13021.739130434782</v>
      </c>
      <c r="V288">
        <v>18836.477987421382</v>
      </c>
      <c r="W288">
        <v>13021.739130434782</v>
      </c>
      <c r="X288">
        <f ca="1">IF(ISNUMBER(properties[[#This Row],[archivedDate]]),properties[[#This Row],[archivedDate]]-properties[[#This Row],[addedDate]],TODAY()-properties[[#This Row],[addedDate]])</f>
        <v>32</v>
      </c>
      <c r="Y288">
        <f ca="1">IF(ISNUMBER(properties[[#This Row],[archivedDate]]),properties[[#This Row],[archivedDate]]-properties[[#This Row],[addedDate]],TODAY()-properties[[#This Row],[addedDate]])</f>
        <v>32</v>
      </c>
    </row>
    <row r="289" spans="1:25" x14ac:dyDescent="0.25">
      <c r="A289" s="1">
        <v>45957</v>
      </c>
      <c r="B289" t="s">
        <v>1033</v>
      </c>
      <c r="C289" t="s">
        <v>120</v>
      </c>
      <c r="D289" s="1">
        <v>46029</v>
      </c>
      <c r="E289" t="s">
        <v>34</v>
      </c>
      <c r="F289">
        <v>0</v>
      </c>
      <c r="G289" t="s">
        <v>1034</v>
      </c>
      <c r="H289" t="s">
        <v>1035</v>
      </c>
      <c r="I289">
        <v>202</v>
      </c>
      <c r="J289">
        <v>445</v>
      </c>
      <c r="K289">
        <v>5300000</v>
      </c>
      <c r="L289" t="s">
        <v>28</v>
      </c>
      <c r="M289">
        <v>4800000</v>
      </c>
      <c r="N289">
        <v>0</v>
      </c>
      <c r="O289" t="s">
        <v>103</v>
      </c>
      <c r="P289" t="s">
        <v>30</v>
      </c>
      <c r="Q289" t="s">
        <v>43</v>
      </c>
      <c r="R289" t="s">
        <v>124</v>
      </c>
      <c r="S289" t="s">
        <v>1036</v>
      </c>
      <c r="T289">
        <v>26237.623762376239</v>
      </c>
      <c r="U289">
        <v>11910.112359550561</v>
      </c>
      <c r="V289">
        <v>23762.376237623761</v>
      </c>
      <c r="W289">
        <v>10786.516853932584</v>
      </c>
      <c r="X289">
        <f ca="1">IF(ISNUMBER(properties[[#This Row],[archivedDate]]),properties[[#This Row],[archivedDate]]-properties[[#This Row],[addedDate]],TODAY()-properties[[#This Row],[addedDate]])</f>
        <v>72</v>
      </c>
      <c r="Y289">
        <f ca="1">IF(ISNUMBER(properties[[#This Row],[archivedDate]]),properties[[#This Row],[archivedDate]]-properties[[#This Row],[addedDate]],TODAY()-properties[[#This Row],[addedDate]])</f>
        <v>72</v>
      </c>
    </row>
    <row r="290" spans="1:25" x14ac:dyDescent="0.25">
      <c r="A290" s="1">
        <v>45957</v>
      </c>
      <c r="B290" t="s">
        <v>1037</v>
      </c>
      <c r="C290" t="s">
        <v>372</v>
      </c>
      <c r="D290" s="1"/>
      <c r="E290" t="s">
        <v>1038</v>
      </c>
      <c r="F290">
        <v>0</v>
      </c>
      <c r="G290" t="s">
        <v>1039</v>
      </c>
      <c r="H290" t="s">
        <v>1040</v>
      </c>
      <c r="I290">
        <v>0</v>
      </c>
      <c r="J290">
        <v>1152</v>
      </c>
      <c r="K290">
        <v>0</v>
      </c>
      <c r="L290" t="s">
        <v>28</v>
      </c>
      <c r="M290">
        <v>750000</v>
      </c>
      <c r="N290">
        <v>0</v>
      </c>
      <c r="O290" t="s">
        <v>29</v>
      </c>
      <c r="P290" t="s">
        <v>98</v>
      </c>
      <c r="Q290" t="s">
        <v>43</v>
      </c>
      <c r="R290" t="s">
        <v>372</v>
      </c>
      <c r="S290" t="s">
        <v>43</v>
      </c>
      <c r="W290">
        <v>651.04166666666663</v>
      </c>
      <c r="X290">
        <f ca="1">IF(ISNUMBER(properties[[#This Row],[archivedDate]]),properties[[#This Row],[archivedDate]]-properties[[#This Row],[addedDate]],TODAY()-properties[[#This Row],[addedDate]])</f>
        <v>162</v>
      </c>
      <c r="Y290">
        <f ca="1">IF(ISNUMBER(properties[[#This Row],[archivedDate]]),properties[[#This Row],[archivedDate]]-properties[[#This Row],[addedDate]],TODAY()-properties[[#This Row],[addedDate]])</f>
        <v>162</v>
      </c>
    </row>
    <row r="291" spans="1:25" x14ac:dyDescent="0.25">
      <c r="A291" s="1">
        <v>45958</v>
      </c>
      <c r="B291" t="s">
        <v>1041</v>
      </c>
      <c r="C291" t="s">
        <v>120</v>
      </c>
      <c r="D291" s="1"/>
      <c r="E291" t="s">
        <v>229</v>
      </c>
      <c r="F291">
        <v>0</v>
      </c>
      <c r="G291" t="s">
        <v>1042</v>
      </c>
      <c r="H291" t="s">
        <v>1043</v>
      </c>
      <c r="I291">
        <v>459</v>
      </c>
      <c r="J291">
        <v>484</v>
      </c>
      <c r="K291">
        <v>0</v>
      </c>
      <c r="L291" t="s">
        <v>28</v>
      </c>
      <c r="M291">
        <v>500000</v>
      </c>
      <c r="N291">
        <v>0</v>
      </c>
      <c r="O291" t="s">
        <v>29</v>
      </c>
      <c r="P291" t="s">
        <v>98</v>
      </c>
      <c r="Q291" t="s">
        <v>43</v>
      </c>
      <c r="R291" t="s">
        <v>124</v>
      </c>
      <c r="S291" t="s">
        <v>43</v>
      </c>
      <c r="V291">
        <v>1089.3246187363834</v>
      </c>
      <c r="W291">
        <v>1033.0578512396694</v>
      </c>
      <c r="X291">
        <f ca="1">IF(ISNUMBER(properties[[#This Row],[archivedDate]]),properties[[#This Row],[archivedDate]]-properties[[#This Row],[addedDate]],TODAY()-properties[[#This Row],[addedDate]])</f>
        <v>161</v>
      </c>
      <c r="Y291">
        <f ca="1">IF(ISNUMBER(properties[[#This Row],[archivedDate]]),properties[[#This Row],[archivedDate]]-properties[[#This Row],[addedDate]],TODAY()-properties[[#This Row],[addedDate]])</f>
        <v>161</v>
      </c>
    </row>
    <row r="292" spans="1:25" x14ac:dyDescent="0.25">
      <c r="A292" s="1">
        <v>45959</v>
      </c>
      <c r="B292" t="s">
        <v>1044</v>
      </c>
      <c r="C292" t="s">
        <v>120</v>
      </c>
      <c r="D292" s="1">
        <v>46056</v>
      </c>
      <c r="E292" t="s">
        <v>34</v>
      </c>
      <c r="F292">
        <v>0</v>
      </c>
      <c r="G292" t="s">
        <v>1045</v>
      </c>
      <c r="H292" t="s">
        <v>1046</v>
      </c>
      <c r="I292">
        <v>152</v>
      </c>
      <c r="J292">
        <v>230</v>
      </c>
      <c r="K292">
        <v>4050000</v>
      </c>
      <c r="L292" t="s">
        <v>28</v>
      </c>
      <c r="M292">
        <v>3300000</v>
      </c>
      <c r="N292">
        <v>0</v>
      </c>
      <c r="O292" t="s">
        <v>103</v>
      </c>
      <c r="P292" t="s">
        <v>108</v>
      </c>
      <c r="Q292" t="s">
        <v>43</v>
      </c>
      <c r="R292" t="s">
        <v>124</v>
      </c>
      <c r="S292" t="s">
        <v>1047</v>
      </c>
      <c r="T292">
        <v>26644.736842105263</v>
      </c>
      <c r="U292">
        <v>17608.695652173912</v>
      </c>
      <c r="V292">
        <v>21710.526315789473</v>
      </c>
      <c r="W292">
        <v>14347.826086956522</v>
      </c>
      <c r="X292">
        <f ca="1">IF(ISNUMBER(properties[[#This Row],[archivedDate]]),properties[[#This Row],[archivedDate]]-properties[[#This Row],[addedDate]],TODAY()-properties[[#This Row],[addedDate]])</f>
        <v>97</v>
      </c>
      <c r="Y292">
        <f ca="1">IF(ISNUMBER(properties[[#This Row],[archivedDate]]),properties[[#This Row],[archivedDate]]-properties[[#This Row],[addedDate]],TODAY()-properties[[#This Row],[addedDate]])</f>
        <v>97</v>
      </c>
    </row>
    <row r="293" spans="1:25" x14ac:dyDescent="0.25">
      <c r="A293" s="1">
        <v>45959</v>
      </c>
      <c r="B293" t="s">
        <v>1048</v>
      </c>
      <c r="C293" t="s">
        <v>372</v>
      </c>
      <c r="D293" s="1">
        <v>46001</v>
      </c>
      <c r="E293" t="s">
        <v>316</v>
      </c>
      <c r="F293">
        <v>3</v>
      </c>
      <c r="G293" t="s">
        <v>1049</v>
      </c>
      <c r="H293" t="s">
        <v>1050</v>
      </c>
      <c r="I293">
        <v>158</v>
      </c>
      <c r="J293">
        <v>411</v>
      </c>
      <c r="K293">
        <v>2500000</v>
      </c>
      <c r="L293" t="s">
        <v>28</v>
      </c>
      <c r="M293">
        <v>2700000</v>
      </c>
      <c r="N293">
        <v>0</v>
      </c>
      <c r="O293" t="s">
        <v>103</v>
      </c>
      <c r="P293" t="s">
        <v>30</v>
      </c>
      <c r="Q293" t="s">
        <v>43</v>
      </c>
      <c r="R293" t="s">
        <v>372</v>
      </c>
      <c r="S293" t="s">
        <v>43</v>
      </c>
      <c r="T293">
        <v>15822.784810126583</v>
      </c>
      <c r="U293">
        <v>6082.7250608272507</v>
      </c>
      <c r="V293">
        <v>17088.607594936708</v>
      </c>
      <c r="W293">
        <v>6569.3430656934306</v>
      </c>
      <c r="X293">
        <f ca="1">IF(ISNUMBER(properties[[#This Row],[archivedDate]]),properties[[#This Row],[archivedDate]]-properties[[#This Row],[addedDate]],TODAY()-properties[[#This Row],[addedDate]])</f>
        <v>42</v>
      </c>
      <c r="Y293">
        <f ca="1">IF(ISNUMBER(properties[[#This Row],[archivedDate]]),properties[[#This Row],[archivedDate]]-properties[[#This Row],[addedDate]],TODAY()-properties[[#This Row],[addedDate]])</f>
        <v>42</v>
      </c>
    </row>
    <row r="294" spans="1:25" x14ac:dyDescent="0.25">
      <c r="A294" s="1">
        <v>45964</v>
      </c>
      <c r="B294" t="s">
        <v>1051</v>
      </c>
      <c r="C294" t="s">
        <v>120</v>
      </c>
      <c r="D294" s="1">
        <v>46029</v>
      </c>
      <c r="E294" t="s">
        <v>34</v>
      </c>
      <c r="F294">
        <v>0</v>
      </c>
      <c r="G294" t="s">
        <v>1052</v>
      </c>
      <c r="H294" t="s">
        <v>1053</v>
      </c>
      <c r="I294">
        <v>310</v>
      </c>
      <c r="J294">
        <v>529</v>
      </c>
      <c r="K294">
        <v>0</v>
      </c>
      <c r="L294" t="s">
        <v>28</v>
      </c>
      <c r="M294">
        <v>6495000</v>
      </c>
      <c r="N294">
        <v>0</v>
      </c>
      <c r="O294" t="s">
        <v>103</v>
      </c>
      <c r="P294" t="s">
        <v>30</v>
      </c>
      <c r="Q294" t="s">
        <v>43</v>
      </c>
      <c r="R294" t="s">
        <v>124</v>
      </c>
      <c r="S294" t="s">
        <v>43</v>
      </c>
      <c r="V294">
        <v>20951.612903225807</v>
      </c>
      <c r="W294">
        <v>12277.882797731569</v>
      </c>
      <c r="X294">
        <f ca="1">IF(ISNUMBER(properties[[#This Row],[archivedDate]]),properties[[#This Row],[archivedDate]]-properties[[#This Row],[addedDate]],TODAY()-properties[[#This Row],[addedDate]])</f>
        <v>65</v>
      </c>
      <c r="Y294">
        <f ca="1">IF(ISNUMBER(properties[[#This Row],[archivedDate]]),properties[[#This Row],[archivedDate]]-properties[[#This Row],[addedDate]],TODAY()-properties[[#This Row],[addedDate]])</f>
        <v>65</v>
      </c>
    </row>
    <row r="295" spans="1:25" x14ac:dyDescent="0.25">
      <c r="A295" s="1">
        <v>45964</v>
      </c>
      <c r="B295" t="s">
        <v>1054</v>
      </c>
      <c r="C295" t="s">
        <v>372</v>
      </c>
      <c r="D295" s="1">
        <v>45989</v>
      </c>
      <c r="E295" t="s">
        <v>141</v>
      </c>
      <c r="F295">
        <v>0</v>
      </c>
      <c r="G295" t="s">
        <v>1055</v>
      </c>
      <c r="H295" t="s">
        <v>1056</v>
      </c>
      <c r="I295">
        <v>0</v>
      </c>
      <c r="J295">
        <v>1210</v>
      </c>
      <c r="K295">
        <v>130000</v>
      </c>
      <c r="L295" t="s">
        <v>28</v>
      </c>
      <c r="M295">
        <v>195000</v>
      </c>
      <c r="N295">
        <v>0</v>
      </c>
      <c r="O295" t="s">
        <v>103</v>
      </c>
      <c r="P295" t="s">
        <v>98</v>
      </c>
      <c r="Q295" t="s">
        <v>43</v>
      </c>
      <c r="R295" t="s">
        <v>372</v>
      </c>
      <c r="S295" t="s">
        <v>43</v>
      </c>
      <c r="U295">
        <v>107.43801652892562</v>
      </c>
      <c r="W295">
        <v>161.15702479338842</v>
      </c>
      <c r="X295">
        <f ca="1">IF(ISNUMBER(properties[[#This Row],[archivedDate]]),properties[[#This Row],[archivedDate]]-properties[[#This Row],[addedDate]],TODAY()-properties[[#This Row],[addedDate]])</f>
        <v>25</v>
      </c>
      <c r="Y295">
        <f ca="1">IF(ISNUMBER(properties[[#This Row],[archivedDate]]),properties[[#This Row],[archivedDate]]-properties[[#This Row],[addedDate]],TODAY()-properties[[#This Row],[addedDate]])</f>
        <v>25</v>
      </c>
    </row>
    <row r="296" spans="1:25" x14ac:dyDescent="0.25">
      <c r="A296" s="1">
        <v>45965</v>
      </c>
      <c r="B296" t="s">
        <v>1057</v>
      </c>
      <c r="C296" t="s">
        <v>120</v>
      </c>
      <c r="D296" s="1">
        <v>46029</v>
      </c>
      <c r="E296" t="s">
        <v>34</v>
      </c>
      <c r="F296">
        <v>0</v>
      </c>
      <c r="G296" t="s">
        <v>1058</v>
      </c>
      <c r="H296" t="s">
        <v>1059</v>
      </c>
      <c r="I296">
        <v>66</v>
      </c>
      <c r="J296">
        <v>66</v>
      </c>
      <c r="K296">
        <v>3650000</v>
      </c>
      <c r="L296" t="s">
        <v>28</v>
      </c>
      <c r="M296">
        <v>3495000</v>
      </c>
      <c r="N296">
        <v>0</v>
      </c>
      <c r="O296" t="s">
        <v>103</v>
      </c>
      <c r="P296" t="s">
        <v>123</v>
      </c>
      <c r="Q296" t="s">
        <v>43</v>
      </c>
      <c r="R296" t="s">
        <v>124</v>
      </c>
      <c r="S296" t="s">
        <v>1060</v>
      </c>
      <c r="T296">
        <v>55303.030303030304</v>
      </c>
      <c r="U296">
        <v>55303.030303030304</v>
      </c>
      <c r="V296">
        <v>52954.545454545456</v>
      </c>
      <c r="W296">
        <v>52954.545454545456</v>
      </c>
      <c r="X296">
        <f ca="1">IF(ISNUMBER(properties[[#This Row],[archivedDate]]),properties[[#This Row],[archivedDate]]-properties[[#This Row],[addedDate]],TODAY()-properties[[#This Row],[addedDate]])</f>
        <v>64</v>
      </c>
      <c r="Y296">
        <f ca="1">IF(ISNUMBER(properties[[#This Row],[archivedDate]]),properties[[#This Row],[archivedDate]]-properties[[#This Row],[addedDate]],TODAY()-properties[[#This Row],[addedDate]])</f>
        <v>64</v>
      </c>
    </row>
    <row r="297" spans="1:25" x14ac:dyDescent="0.25">
      <c r="A297" s="1">
        <v>45967</v>
      </c>
      <c r="B297" t="s">
        <v>1061</v>
      </c>
      <c r="C297" t="s">
        <v>372</v>
      </c>
      <c r="D297" s="1">
        <v>46049</v>
      </c>
      <c r="E297" t="s">
        <v>34</v>
      </c>
      <c r="F297">
        <v>2</v>
      </c>
      <c r="G297" t="s">
        <v>1062</v>
      </c>
      <c r="H297" t="s">
        <v>1063</v>
      </c>
      <c r="I297">
        <v>125</v>
      </c>
      <c r="J297">
        <v>429</v>
      </c>
      <c r="K297">
        <v>3400000</v>
      </c>
      <c r="L297" t="s">
        <v>28</v>
      </c>
      <c r="M297">
        <v>3495000</v>
      </c>
      <c r="N297">
        <v>0</v>
      </c>
      <c r="O297" t="s">
        <v>103</v>
      </c>
      <c r="P297" t="s">
        <v>30</v>
      </c>
      <c r="Q297" t="s">
        <v>43</v>
      </c>
      <c r="R297" t="s">
        <v>372</v>
      </c>
      <c r="S297" t="s">
        <v>43</v>
      </c>
      <c r="T297">
        <v>27200</v>
      </c>
      <c r="U297">
        <v>7925.4079254079252</v>
      </c>
      <c r="V297">
        <v>27960</v>
      </c>
      <c r="W297">
        <v>8146.8531468531464</v>
      </c>
      <c r="X297">
        <f ca="1">IF(ISNUMBER(properties[[#This Row],[archivedDate]]),properties[[#This Row],[archivedDate]]-properties[[#This Row],[addedDate]],TODAY()-properties[[#This Row],[addedDate]])</f>
        <v>82</v>
      </c>
      <c r="Y297">
        <f ca="1">IF(ISNUMBER(properties[[#This Row],[archivedDate]]),properties[[#This Row],[archivedDate]]-properties[[#This Row],[addedDate]],TODAY()-properties[[#This Row],[addedDate]])</f>
        <v>82</v>
      </c>
    </row>
    <row r="298" spans="1:25" x14ac:dyDescent="0.25">
      <c r="A298" s="1">
        <v>45968</v>
      </c>
      <c r="B298" t="s">
        <v>1064</v>
      </c>
      <c r="C298" t="s">
        <v>120</v>
      </c>
      <c r="D298" s="1">
        <v>46100</v>
      </c>
      <c r="E298" t="s">
        <v>316</v>
      </c>
      <c r="F298">
        <v>0</v>
      </c>
      <c r="G298" t="s">
        <v>1065</v>
      </c>
      <c r="H298" t="s">
        <v>1066</v>
      </c>
      <c r="I298">
        <v>273</v>
      </c>
      <c r="J298">
        <v>156</v>
      </c>
      <c r="K298">
        <v>0</v>
      </c>
      <c r="L298" t="s">
        <v>28</v>
      </c>
      <c r="M298">
        <v>4900000</v>
      </c>
      <c r="N298">
        <v>0</v>
      </c>
      <c r="O298" t="s">
        <v>103</v>
      </c>
      <c r="P298" t="s">
        <v>297</v>
      </c>
      <c r="Q298" t="s">
        <v>43</v>
      </c>
      <c r="R298" t="s">
        <v>124</v>
      </c>
      <c r="S298" t="s">
        <v>43</v>
      </c>
      <c r="V298">
        <v>17948.717948717949</v>
      </c>
      <c r="W298">
        <v>31410.25641025641</v>
      </c>
      <c r="X298">
        <f ca="1">IF(ISNUMBER(properties[[#This Row],[archivedDate]]),properties[[#This Row],[archivedDate]]-properties[[#This Row],[addedDate]],TODAY()-properties[[#This Row],[addedDate]])</f>
        <v>132</v>
      </c>
      <c r="Y298">
        <f ca="1">IF(ISNUMBER(properties[[#This Row],[archivedDate]]),properties[[#This Row],[archivedDate]]-properties[[#This Row],[addedDate]],TODAY()-properties[[#This Row],[addedDate]])</f>
        <v>132</v>
      </c>
    </row>
    <row r="299" spans="1:25" x14ac:dyDescent="0.25">
      <c r="A299" s="1">
        <v>45971</v>
      </c>
      <c r="B299" t="s">
        <v>1067</v>
      </c>
      <c r="C299" t="s">
        <v>120</v>
      </c>
      <c r="D299" s="1">
        <v>46056</v>
      </c>
      <c r="E299" t="s">
        <v>34</v>
      </c>
      <c r="F299">
        <v>0</v>
      </c>
      <c r="G299" t="s">
        <v>1068</v>
      </c>
      <c r="H299" t="s">
        <v>1069</v>
      </c>
      <c r="I299">
        <v>224</v>
      </c>
      <c r="J299">
        <v>520</v>
      </c>
      <c r="K299">
        <v>5100000</v>
      </c>
      <c r="L299" t="s">
        <v>28</v>
      </c>
      <c r="M299">
        <v>4795000</v>
      </c>
      <c r="N299">
        <v>0</v>
      </c>
      <c r="O299" t="s">
        <v>103</v>
      </c>
      <c r="P299" t="s">
        <v>30</v>
      </c>
      <c r="Q299" t="s">
        <v>43</v>
      </c>
      <c r="R299" t="s">
        <v>124</v>
      </c>
      <c r="S299" t="s">
        <v>1070</v>
      </c>
      <c r="T299">
        <v>22767.857142857141</v>
      </c>
      <c r="U299">
        <v>9807.6923076923085</v>
      </c>
      <c r="V299">
        <v>21406.25</v>
      </c>
      <c r="W299">
        <v>9221.1538461538457</v>
      </c>
      <c r="X299">
        <f ca="1">IF(ISNUMBER(properties[[#This Row],[archivedDate]]),properties[[#This Row],[archivedDate]]-properties[[#This Row],[addedDate]],TODAY()-properties[[#This Row],[addedDate]])</f>
        <v>85</v>
      </c>
      <c r="Y299">
        <f ca="1">IF(ISNUMBER(properties[[#This Row],[archivedDate]]),properties[[#This Row],[archivedDate]]-properties[[#This Row],[addedDate]],TODAY()-properties[[#This Row],[addedDate]])</f>
        <v>85</v>
      </c>
    </row>
    <row r="300" spans="1:25" x14ac:dyDescent="0.25">
      <c r="A300" s="1">
        <v>45971</v>
      </c>
      <c r="B300" t="s">
        <v>1071</v>
      </c>
      <c r="C300" t="s">
        <v>372</v>
      </c>
      <c r="D300" s="1">
        <v>46009</v>
      </c>
      <c r="E300" t="s">
        <v>229</v>
      </c>
      <c r="F300">
        <v>0</v>
      </c>
      <c r="G300" t="s">
        <v>1072</v>
      </c>
      <c r="H300" t="s">
        <v>1073</v>
      </c>
      <c r="I300">
        <v>0</v>
      </c>
      <c r="J300">
        <v>42</v>
      </c>
      <c r="K300">
        <v>130000</v>
      </c>
      <c r="L300" t="s">
        <v>28</v>
      </c>
      <c r="M300">
        <v>175000</v>
      </c>
      <c r="N300">
        <v>0</v>
      </c>
      <c r="O300" t="s">
        <v>103</v>
      </c>
      <c r="P300" t="s">
        <v>55</v>
      </c>
      <c r="Q300" t="s">
        <v>43</v>
      </c>
      <c r="R300" t="s">
        <v>372</v>
      </c>
      <c r="S300" t="s">
        <v>43</v>
      </c>
      <c r="U300">
        <v>3095.2380952380954</v>
      </c>
      <c r="W300">
        <v>4166.666666666667</v>
      </c>
      <c r="X300">
        <f ca="1">IF(ISNUMBER(properties[[#This Row],[archivedDate]]),properties[[#This Row],[archivedDate]]-properties[[#This Row],[addedDate]],TODAY()-properties[[#This Row],[addedDate]])</f>
        <v>38</v>
      </c>
      <c r="Y300">
        <f ca="1">IF(ISNUMBER(properties[[#This Row],[archivedDate]]),properties[[#This Row],[archivedDate]]-properties[[#This Row],[addedDate]],TODAY()-properties[[#This Row],[addedDate]])</f>
        <v>38</v>
      </c>
    </row>
    <row r="301" spans="1:25" x14ac:dyDescent="0.25">
      <c r="A301" s="1">
        <v>45972</v>
      </c>
      <c r="B301" t="s">
        <v>1074</v>
      </c>
      <c r="C301" t="s">
        <v>120</v>
      </c>
      <c r="D301" s="1">
        <v>46107</v>
      </c>
      <c r="E301" t="s">
        <v>191</v>
      </c>
      <c r="F301">
        <v>0</v>
      </c>
      <c r="G301" t="s">
        <v>1075</v>
      </c>
      <c r="H301" t="s">
        <v>1076</v>
      </c>
      <c r="I301">
        <v>160</v>
      </c>
      <c r="J301">
        <v>108</v>
      </c>
      <c r="K301">
        <v>2700000</v>
      </c>
      <c r="L301" t="s">
        <v>28</v>
      </c>
      <c r="M301">
        <v>3500000</v>
      </c>
      <c r="N301">
        <v>0</v>
      </c>
      <c r="O301" t="s">
        <v>103</v>
      </c>
      <c r="P301" t="s">
        <v>30</v>
      </c>
      <c r="Q301" t="s">
        <v>43</v>
      </c>
      <c r="R301" t="s">
        <v>124</v>
      </c>
      <c r="S301" t="s">
        <v>43</v>
      </c>
      <c r="T301">
        <v>16875</v>
      </c>
      <c r="U301">
        <v>25000</v>
      </c>
      <c r="V301">
        <v>21875</v>
      </c>
      <c r="W301">
        <v>32407.407407407409</v>
      </c>
      <c r="X301">
        <f ca="1">IF(ISNUMBER(properties[[#This Row],[archivedDate]]),properties[[#This Row],[archivedDate]]-properties[[#This Row],[addedDate]],TODAY()-properties[[#This Row],[addedDate]])</f>
        <v>135</v>
      </c>
      <c r="Y301">
        <f ca="1">IF(ISNUMBER(properties[[#This Row],[archivedDate]]),properties[[#This Row],[archivedDate]]-properties[[#This Row],[addedDate]],TODAY()-properties[[#This Row],[addedDate]])</f>
        <v>135</v>
      </c>
    </row>
    <row r="302" spans="1:25" x14ac:dyDescent="0.25">
      <c r="A302" s="1">
        <v>45974</v>
      </c>
      <c r="B302" t="s">
        <v>1077</v>
      </c>
      <c r="C302" t="s">
        <v>372</v>
      </c>
      <c r="D302" s="1"/>
      <c r="E302" t="s">
        <v>342</v>
      </c>
      <c r="F302">
        <v>0</v>
      </c>
      <c r="G302" t="s">
        <v>1078</v>
      </c>
      <c r="H302" t="s">
        <v>1079</v>
      </c>
      <c r="I302">
        <v>0</v>
      </c>
      <c r="J302">
        <v>13793</v>
      </c>
      <c r="K302">
        <v>500000</v>
      </c>
      <c r="L302" t="s">
        <v>28</v>
      </c>
      <c r="M302">
        <v>850000</v>
      </c>
      <c r="N302">
        <v>0</v>
      </c>
      <c r="O302" t="s">
        <v>29</v>
      </c>
      <c r="P302" t="s">
        <v>194</v>
      </c>
      <c r="Q302" t="s">
        <v>43</v>
      </c>
      <c r="R302" t="s">
        <v>372</v>
      </c>
      <c r="S302" t="s">
        <v>43</v>
      </c>
      <c r="U302">
        <v>36.250271877039076</v>
      </c>
      <c r="W302">
        <v>61.625462190966431</v>
      </c>
      <c r="X302">
        <f ca="1">IF(ISNUMBER(properties[[#This Row],[archivedDate]]),properties[[#This Row],[archivedDate]]-properties[[#This Row],[addedDate]],TODAY()-properties[[#This Row],[addedDate]])</f>
        <v>145</v>
      </c>
      <c r="Y302">
        <f ca="1">IF(ISNUMBER(properties[[#This Row],[archivedDate]]),properties[[#This Row],[archivedDate]]-properties[[#This Row],[addedDate]],TODAY()-properties[[#This Row],[addedDate]])</f>
        <v>145</v>
      </c>
    </row>
    <row r="303" spans="1:25" x14ac:dyDescent="0.25">
      <c r="A303" s="1">
        <v>45978</v>
      </c>
      <c r="B303" t="s">
        <v>1080</v>
      </c>
      <c r="C303" t="s">
        <v>120</v>
      </c>
      <c r="D303" s="1">
        <v>46083</v>
      </c>
      <c r="E303" t="s">
        <v>200</v>
      </c>
      <c r="F303">
        <v>0</v>
      </c>
      <c r="G303" t="s">
        <v>1081</v>
      </c>
      <c r="H303" t="s">
        <v>1082</v>
      </c>
      <c r="I303">
        <v>848</v>
      </c>
      <c r="J303">
        <v>848</v>
      </c>
      <c r="K303">
        <v>100000</v>
      </c>
      <c r="L303" t="s">
        <v>28</v>
      </c>
      <c r="M303">
        <v>150000</v>
      </c>
      <c r="N303">
        <v>0</v>
      </c>
      <c r="O303" t="s">
        <v>103</v>
      </c>
      <c r="P303" t="s">
        <v>98</v>
      </c>
      <c r="Q303" t="s">
        <v>43</v>
      </c>
      <c r="R303" t="s">
        <v>124</v>
      </c>
      <c r="S303" t="s">
        <v>43</v>
      </c>
      <c r="T303">
        <v>117.9245283018868</v>
      </c>
      <c r="U303">
        <v>117.9245283018868</v>
      </c>
      <c r="V303">
        <v>176.88679245283018</v>
      </c>
      <c r="W303">
        <v>176.88679245283018</v>
      </c>
      <c r="X303">
        <f ca="1">IF(ISNUMBER(properties[[#This Row],[archivedDate]]),properties[[#This Row],[archivedDate]]-properties[[#This Row],[addedDate]],TODAY()-properties[[#This Row],[addedDate]])</f>
        <v>105</v>
      </c>
      <c r="Y303">
        <f ca="1">IF(ISNUMBER(properties[[#This Row],[archivedDate]]),properties[[#This Row],[archivedDate]]-properties[[#This Row],[addedDate]],TODAY()-properties[[#This Row],[addedDate]])</f>
        <v>105</v>
      </c>
    </row>
    <row r="304" spans="1:25" x14ac:dyDescent="0.25">
      <c r="A304" s="1">
        <v>45978</v>
      </c>
      <c r="B304" t="s">
        <v>1083</v>
      </c>
      <c r="C304" t="s">
        <v>372</v>
      </c>
      <c r="D304" s="1">
        <v>45989</v>
      </c>
      <c r="E304" t="s">
        <v>316</v>
      </c>
      <c r="F304">
        <v>3</v>
      </c>
      <c r="G304" t="s">
        <v>1084</v>
      </c>
      <c r="H304" t="s">
        <v>1085</v>
      </c>
      <c r="I304">
        <v>150</v>
      </c>
      <c r="J304">
        <v>310</v>
      </c>
      <c r="K304">
        <v>1000000</v>
      </c>
      <c r="L304" t="s">
        <v>28</v>
      </c>
      <c r="M304">
        <v>500000</v>
      </c>
      <c r="N304">
        <v>0</v>
      </c>
      <c r="O304" t="s">
        <v>103</v>
      </c>
      <c r="P304" t="s">
        <v>30</v>
      </c>
      <c r="Q304" t="s">
        <v>43</v>
      </c>
      <c r="R304" t="s">
        <v>372</v>
      </c>
      <c r="S304" t="s">
        <v>43</v>
      </c>
      <c r="T304">
        <v>6666.666666666667</v>
      </c>
      <c r="U304">
        <v>3225.8064516129034</v>
      </c>
      <c r="V304">
        <v>3333.3333333333335</v>
      </c>
      <c r="W304">
        <v>1612.9032258064517</v>
      </c>
      <c r="X304">
        <f ca="1">IF(ISNUMBER(properties[[#This Row],[archivedDate]]),properties[[#This Row],[archivedDate]]-properties[[#This Row],[addedDate]],TODAY()-properties[[#This Row],[addedDate]])</f>
        <v>11</v>
      </c>
      <c r="Y304">
        <f ca="1">IF(ISNUMBER(properties[[#This Row],[archivedDate]]),properties[[#This Row],[archivedDate]]-properties[[#This Row],[addedDate]],TODAY()-properties[[#This Row],[addedDate]])</f>
        <v>11</v>
      </c>
    </row>
    <row r="305" spans="1:25" x14ac:dyDescent="0.25">
      <c r="A305" s="1">
        <v>45980</v>
      </c>
      <c r="B305" t="s">
        <v>1086</v>
      </c>
      <c r="C305" t="s">
        <v>120</v>
      </c>
      <c r="D305" s="1">
        <v>46083</v>
      </c>
      <c r="E305" t="s">
        <v>211</v>
      </c>
      <c r="F305">
        <v>0</v>
      </c>
      <c r="G305" t="s">
        <v>1087</v>
      </c>
      <c r="H305" t="s">
        <v>1088</v>
      </c>
      <c r="I305">
        <v>387</v>
      </c>
      <c r="J305">
        <v>1047</v>
      </c>
      <c r="K305">
        <v>4600000</v>
      </c>
      <c r="L305" t="s">
        <v>28</v>
      </c>
      <c r="M305">
        <v>2800000</v>
      </c>
      <c r="N305">
        <v>0</v>
      </c>
      <c r="O305" t="s">
        <v>103</v>
      </c>
      <c r="P305" t="s">
        <v>30</v>
      </c>
      <c r="Q305" t="s">
        <v>43</v>
      </c>
      <c r="R305" t="s">
        <v>124</v>
      </c>
      <c r="S305" t="s">
        <v>43</v>
      </c>
      <c r="T305">
        <v>11886.304909560724</v>
      </c>
      <c r="U305">
        <v>4393.5052531041074</v>
      </c>
      <c r="V305">
        <v>7235.1421188630493</v>
      </c>
      <c r="W305">
        <v>2674.3075453677175</v>
      </c>
      <c r="X305">
        <f ca="1">IF(ISNUMBER(properties[[#This Row],[archivedDate]]),properties[[#This Row],[archivedDate]]-properties[[#This Row],[addedDate]],TODAY()-properties[[#This Row],[addedDate]])</f>
        <v>103</v>
      </c>
      <c r="Y305">
        <f ca="1">IF(ISNUMBER(properties[[#This Row],[archivedDate]]),properties[[#This Row],[archivedDate]]-properties[[#This Row],[addedDate]],TODAY()-properties[[#This Row],[addedDate]])</f>
        <v>103</v>
      </c>
    </row>
    <row r="306" spans="1:25" x14ac:dyDescent="0.25">
      <c r="A306" s="1">
        <v>45981</v>
      </c>
      <c r="B306" t="s">
        <v>1089</v>
      </c>
      <c r="C306" t="s">
        <v>120</v>
      </c>
      <c r="D306" s="1"/>
      <c r="E306" t="s">
        <v>52</v>
      </c>
      <c r="F306">
        <v>0</v>
      </c>
      <c r="G306" t="s">
        <v>1090</v>
      </c>
      <c r="H306" t="s">
        <v>1091</v>
      </c>
      <c r="I306">
        <v>399</v>
      </c>
      <c r="J306">
        <v>575</v>
      </c>
      <c r="K306">
        <v>4200000</v>
      </c>
      <c r="L306" t="s">
        <v>28</v>
      </c>
      <c r="M306">
        <v>4200000</v>
      </c>
      <c r="N306">
        <v>0</v>
      </c>
      <c r="O306" t="s">
        <v>29</v>
      </c>
      <c r="P306" t="s">
        <v>30</v>
      </c>
      <c r="Q306" t="s">
        <v>43</v>
      </c>
      <c r="R306" t="s">
        <v>124</v>
      </c>
      <c r="S306" t="s">
        <v>1092</v>
      </c>
      <c r="T306">
        <v>10526.315789473685</v>
      </c>
      <c r="U306">
        <v>7304.347826086957</v>
      </c>
      <c r="V306">
        <v>10526.315789473685</v>
      </c>
      <c r="W306">
        <v>7304.347826086957</v>
      </c>
      <c r="X306">
        <f ca="1">IF(ISNUMBER(properties[[#This Row],[archivedDate]]),properties[[#This Row],[archivedDate]]-properties[[#This Row],[addedDate]],TODAY()-properties[[#This Row],[addedDate]])</f>
        <v>138</v>
      </c>
      <c r="Y306">
        <f ca="1">IF(ISNUMBER(properties[[#This Row],[archivedDate]]),properties[[#This Row],[archivedDate]]-properties[[#This Row],[addedDate]],TODAY()-properties[[#This Row],[addedDate]])</f>
        <v>138</v>
      </c>
    </row>
    <row r="307" spans="1:25" x14ac:dyDescent="0.25">
      <c r="A307" s="1">
        <v>45981</v>
      </c>
      <c r="B307" t="s">
        <v>1093</v>
      </c>
      <c r="C307" t="s">
        <v>120</v>
      </c>
      <c r="D307" s="1">
        <v>46069</v>
      </c>
      <c r="E307" t="s">
        <v>331</v>
      </c>
      <c r="F307">
        <v>0</v>
      </c>
      <c r="G307" t="s">
        <v>1094</v>
      </c>
      <c r="H307" t="s">
        <v>1095</v>
      </c>
      <c r="I307">
        <v>301</v>
      </c>
      <c r="J307">
        <v>504</v>
      </c>
      <c r="K307">
        <v>4400000</v>
      </c>
      <c r="L307" t="s">
        <v>28</v>
      </c>
      <c r="M307">
        <v>3995000</v>
      </c>
      <c r="N307">
        <v>0</v>
      </c>
      <c r="O307" t="s">
        <v>103</v>
      </c>
      <c r="P307" t="s">
        <v>30</v>
      </c>
      <c r="Q307" t="s">
        <v>43</v>
      </c>
      <c r="R307" t="s">
        <v>124</v>
      </c>
      <c r="S307" t="s">
        <v>43</v>
      </c>
      <c r="T307">
        <v>14617.940199335548</v>
      </c>
      <c r="U307">
        <v>8730.1587301587297</v>
      </c>
      <c r="V307">
        <v>13272.425249169435</v>
      </c>
      <c r="W307">
        <v>7926.5873015873012</v>
      </c>
      <c r="X307">
        <f ca="1">IF(ISNUMBER(properties[[#This Row],[archivedDate]]),properties[[#This Row],[archivedDate]]-properties[[#This Row],[addedDate]],TODAY()-properties[[#This Row],[addedDate]])</f>
        <v>88</v>
      </c>
      <c r="Y307">
        <f ca="1">IF(ISNUMBER(properties[[#This Row],[archivedDate]]),properties[[#This Row],[archivedDate]]-properties[[#This Row],[addedDate]],TODAY()-properties[[#This Row],[addedDate]])</f>
        <v>88</v>
      </c>
    </row>
    <row r="308" spans="1:25" x14ac:dyDescent="0.25">
      <c r="A308" s="1">
        <v>45985</v>
      </c>
      <c r="B308" t="s">
        <v>1096</v>
      </c>
      <c r="C308" t="s">
        <v>120</v>
      </c>
      <c r="D308" s="1">
        <v>46069</v>
      </c>
      <c r="E308" t="s">
        <v>34</v>
      </c>
      <c r="F308">
        <v>0</v>
      </c>
      <c r="G308" t="s">
        <v>1097</v>
      </c>
      <c r="H308" t="s">
        <v>1098</v>
      </c>
      <c r="I308">
        <v>228</v>
      </c>
      <c r="J308">
        <v>385</v>
      </c>
      <c r="K308">
        <v>5600000</v>
      </c>
      <c r="L308" t="s">
        <v>28</v>
      </c>
      <c r="M308">
        <v>4995000</v>
      </c>
      <c r="N308">
        <v>0</v>
      </c>
      <c r="O308" t="s">
        <v>103</v>
      </c>
      <c r="P308" t="s">
        <v>30</v>
      </c>
      <c r="Q308" t="s">
        <v>43</v>
      </c>
      <c r="R308" t="s">
        <v>124</v>
      </c>
      <c r="S308" t="s">
        <v>1099</v>
      </c>
      <c r="T308">
        <v>24561.403508771931</v>
      </c>
      <c r="U308">
        <v>14545.454545454546</v>
      </c>
      <c r="V308">
        <v>21907.894736842107</v>
      </c>
      <c r="W308">
        <v>12974.025974025973</v>
      </c>
      <c r="X308">
        <f ca="1">IF(ISNUMBER(properties[[#This Row],[archivedDate]]),properties[[#This Row],[archivedDate]]-properties[[#This Row],[addedDate]],TODAY()-properties[[#This Row],[addedDate]])</f>
        <v>84</v>
      </c>
      <c r="Y308">
        <f ca="1">IF(ISNUMBER(properties[[#This Row],[archivedDate]]),properties[[#This Row],[archivedDate]]-properties[[#This Row],[addedDate]],TODAY()-properties[[#This Row],[addedDate]])</f>
        <v>84</v>
      </c>
    </row>
    <row r="309" spans="1:25" x14ac:dyDescent="0.25">
      <c r="A309" s="1">
        <v>45985</v>
      </c>
      <c r="B309" t="s">
        <v>1100</v>
      </c>
      <c r="C309" t="s">
        <v>120</v>
      </c>
      <c r="D309" s="1"/>
      <c r="E309" t="s">
        <v>229</v>
      </c>
      <c r="F309">
        <v>0</v>
      </c>
      <c r="G309" t="s">
        <v>1101</v>
      </c>
      <c r="H309" t="s">
        <v>1102</v>
      </c>
      <c r="I309">
        <v>270</v>
      </c>
      <c r="J309">
        <v>242</v>
      </c>
      <c r="K309">
        <v>0</v>
      </c>
      <c r="L309" t="s">
        <v>28</v>
      </c>
      <c r="M309">
        <v>2200000</v>
      </c>
      <c r="N309">
        <v>0</v>
      </c>
      <c r="O309" t="s">
        <v>29</v>
      </c>
      <c r="P309" t="s">
        <v>129</v>
      </c>
      <c r="Q309" t="s">
        <v>43</v>
      </c>
      <c r="R309" t="s">
        <v>124</v>
      </c>
      <c r="S309" t="s">
        <v>43</v>
      </c>
      <c r="V309">
        <v>8148.1481481481478</v>
      </c>
      <c r="W309">
        <v>9090.9090909090901</v>
      </c>
      <c r="X309">
        <f ca="1">IF(ISNUMBER(properties[[#This Row],[archivedDate]]),properties[[#This Row],[archivedDate]]-properties[[#This Row],[addedDate]],TODAY()-properties[[#This Row],[addedDate]])</f>
        <v>134</v>
      </c>
      <c r="Y309">
        <f ca="1">IF(ISNUMBER(properties[[#This Row],[archivedDate]]),properties[[#This Row],[archivedDate]]-properties[[#This Row],[addedDate]],TODAY()-properties[[#This Row],[addedDate]])</f>
        <v>134</v>
      </c>
    </row>
    <row r="310" spans="1:25" x14ac:dyDescent="0.25">
      <c r="A310" s="1">
        <v>45985</v>
      </c>
      <c r="B310" t="s">
        <v>1103</v>
      </c>
      <c r="C310" t="s">
        <v>372</v>
      </c>
      <c r="D310" s="1">
        <v>46024</v>
      </c>
      <c r="E310" t="s">
        <v>229</v>
      </c>
      <c r="F310">
        <v>2</v>
      </c>
      <c r="G310" t="s">
        <v>1104</v>
      </c>
      <c r="H310" t="s">
        <v>1105</v>
      </c>
      <c r="I310">
        <v>132</v>
      </c>
      <c r="J310">
        <v>495</v>
      </c>
      <c r="K310">
        <v>1500000</v>
      </c>
      <c r="L310" t="s">
        <v>28</v>
      </c>
      <c r="M310">
        <v>1300000</v>
      </c>
      <c r="N310">
        <v>0</v>
      </c>
      <c r="O310" t="s">
        <v>103</v>
      </c>
      <c r="P310" t="s">
        <v>30</v>
      </c>
      <c r="Q310" t="s">
        <v>43</v>
      </c>
      <c r="R310" t="s">
        <v>372</v>
      </c>
      <c r="S310" t="s">
        <v>43</v>
      </c>
      <c r="T310">
        <v>11363.636363636364</v>
      </c>
      <c r="U310">
        <v>3030.3030303030305</v>
      </c>
      <c r="V310">
        <v>9848.484848484848</v>
      </c>
      <c r="W310">
        <v>2626.2626262626263</v>
      </c>
      <c r="X310">
        <f ca="1">IF(ISNUMBER(properties[[#This Row],[archivedDate]]),properties[[#This Row],[archivedDate]]-properties[[#This Row],[addedDate]],TODAY()-properties[[#This Row],[addedDate]])</f>
        <v>39</v>
      </c>
      <c r="Y310">
        <f ca="1">IF(ISNUMBER(properties[[#This Row],[archivedDate]]),properties[[#This Row],[archivedDate]]-properties[[#This Row],[addedDate]],TODAY()-properties[[#This Row],[addedDate]])</f>
        <v>39</v>
      </c>
    </row>
    <row r="311" spans="1:25" x14ac:dyDescent="0.25">
      <c r="A311" s="1">
        <v>45988</v>
      </c>
      <c r="B311" t="s">
        <v>1106</v>
      </c>
      <c r="C311" t="s">
        <v>372</v>
      </c>
      <c r="D311" s="1">
        <v>46077</v>
      </c>
      <c r="E311" t="s">
        <v>58</v>
      </c>
      <c r="F311">
        <v>3</v>
      </c>
      <c r="G311" t="s">
        <v>1107</v>
      </c>
      <c r="H311" t="s">
        <v>1108</v>
      </c>
      <c r="I311">
        <v>103</v>
      </c>
      <c r="J311">
        <v>980</v>
      </c>
      <c r="K311">
        <v>1700000</v>
      </c>
      <c r="L311" t="s">
        <v>28</v>
      </c>
      <c r="M311">
        <v>1895000</v>
      </c>
      <c r="N311">
        <v>0</v>
      </c>
      <c r="O311" t="s">
        <v>103</v>
      </c>
      <c r="P311" t="s">
        <v>30</v>
      </c>
      <c r="Q311" t="s">
        <v>43</v>
      </c>
      <c r="R311" t="s">
        <v>372</v>
      </c>
      <c r="S311" t="s">
        <v>43</v>
      </c>
      <c r="T311">
        <v>16504.85436893204</v>
      </c>
      <c r="U311">
        <v>1734.6938775510205</v>
      </c>
      <c r="V311">
        <v>18398.058252427185</v>
      </c>
      <c r="W311">
        <v>1933.6734693877552</v>
      </c>
      <c r="X311">
        <f ca="1">IF(ISNUMBER(properties[[#This Row],[archivedDate]]),properties[[#This Row],[archivedDate]]-properties[[#This Row],[addedDate]],TODAY()-properties[[#This Row],[addedDate]])</f>
        <v>89</v>
      </c>
      <c r="Y311">
        <f ca="1">IF(ISNUMBER(properties[[#This Row],[archivedDate]]),properties[[#This Row],[archivedDate]]-properties[[#This Row],[addedDate]],TODAY()-properties[[#This Row],[addedDate]])</f>
        <v>89</v>
      </c>
    </row>
    <row r="312" spans="1:25" x14ac:dyDescent="0.25">
      <c r="A312" s="1">
        <v>45995</v>
      </c>
      <c r="B312" t="s">
        <v>1109</v>
      </c>
      <c r="C312" t="s">
        <v>372</v>
      </c>
      <c r="D312" s="1">
        <v>46021</v>
      </c>
      <c r="E312" t="s">
        <v>34</v>
      </c>
      <c r="F312">
        <v>0</v>
      </c>
      <c r="G312" t="s">
        <v>1110</v>
      </c>
      <c r="H312" t="s">
        <v>1111</v>
      </c>
      <c r="I312">
        <v>0</v>
      </c>
      <c r="J312">
        <v>250</v>
      </c>
      <c r="K312">
        <v>1600000</v>
      </c>
      <c r="L312" t="s">
        <v>28</v>
      </c>
      <c r="M312">
        <v>1300000</v>
      </c>
      <c r="N312">
        <v>0</v>
      </c>
      <c r="O312" t="s">
        <v>103</v>
      </c>
      <c r="P312" t="s">
        <v>98</v>
      </c>
      <c r="Q312" t="s">
        <v>43</v>
      </c>
      <c r="R312" t="s">
        <v>372</v>
      </c>
      <c r="S312" t="s">
        <v>43</v>
      </c>
      <c r="U312">
        <v>6400</v>
      </c>
      <c r="W312">
        <v>5200</v>
      </c>
      <c r="X312">
        <f ca="1">IF(ISNUMBER(properties[[#This Row],[archivedDate]]),properties[[#This Row],[archivedDate]]-properties[[#This Row],[addedDate]],TODAY()-properties[[#This Row],[addedDate]])</f>
        <v>26</v>
      </c>
      <c r="Y312">
        <f ca="1">IF(ISNUMBER(properties[[#This Row],[archivedDate]]),properties[[#This Row],[archivedDate]]-properties[[#This Row],[addedDate]],TODAY()-properties[[#This Row],[addedDate]])</f>
        <v>26</v>
      </c>
    </row>
    <row r="313" spans="1:25" x14ac:dyDescent="0.25">
      <c r="A313" s="1">
        <v>46003</v>
      </c>
      <c r="B313" t="s">
        <v>1112</v>
      </c>
      <c r="C313" t="s">
        <v>120</v>
      </c>
      <c r="D313" s="1">
        <v>46083</v>
      </c>
      <c r="E313" t="s">
        <v>215</v>
      </c>
      <c r="F313">
        <v>0</v>
      </c>
      <c r="G313" t="s">
        <v>1113</v>
      </c>
      <c r="H313" t="s">
        <v>1114</v>
      </c>
      <c r="I313">
        <v>79</v>
      </c>
      <c r="J313">
        <v>79</v>
      </c>
      <c r="K313">
        <v>3200000</v>
      </c>
      <c r="L313" t="s">
        <v>28</v>
      </c>
      <c r="M313">
        <v>3200000</v>
      </c>
      <c r="N313">
        <v>0</v>
      </c>
      <c r="O313" t="s">
        <v>103</v>
      </c>
      <c r="P313" t="s">
        <v>123</v>
      </c>
      <c r="Q313" t="s">
        <v>43</v>
      </c>
      <c r="R313" t="s">
        <v>124</v>
      </c>
      <c r="S313" t="s">
        <v>43</v>
      </c>
      <c r="T313">
        <v>40506.329113924054</v>
      </c>
      <c r="U313">
        <v>40506.329113924054</v>
      </c>
      <c r="V313">
        <v>40506.329113924054</v>
      </c>
      <c r="W313">
        <v>40506.329113924054</v>
      </c>
      <c r="X313">
        <f ca="1">IF(ISNUMBER(properties[[#This Row],[archivedDate]]),properties[[#This Row],[archivedDate]]-properties[[#This Row],[addedDate]],TODAY()-properties[[#This Row],[addedDate]])</f>
        <v>80</v>
      </c>
      <c r="Y313">
        <f ca="1">IF(ISNUMBER(properties[[#This Row],[archivedDate]]),properties[[#This Row],[archivedDate]]-properties[[#This Row],[addedDate]],TODAY()-properties[[#This Row],[addedDate]])</f>
        <v>80</v>
      </c>
    </row>
    <row r="314" spans="1:25" x14ac:dyDescent="0.25">
      <c r="A314" s="1">
        <v>46020</v>
      </c>
      <c r="B314" t="s">
        <v>1115</v>
      </c>
      <c r="C314" t="s">
        <v>120</v>
      </c>
      <c r="D314" s="1">
        <v>46083</v>
      </c>
      <c r="E314" t="s">
        <v>1116</v>
      </c>
      <c r="F314">
        <v>0</v>
      </c>
      <c r="G314" t="s">
        <v>1117</v>
      </c>
      <c r="H314" t="s">
        <v>1118</v>
      </c>
      <c r="I314">
        <v>246</v>
      </c>
      <c r="J314">
        <v>951</v>
      </c>
      <c r="K314">
        <v>2800000</v>
      </c>
      <c r="L314" t="s">
        <v>28</v>
      </c>
      <c r="M314">
        <v>1750000</v>
      </c>
      <c r="N314">
        <v>0</v>
      </c>
      <c r="O314" t="s">
        <v>103</v>
      </c>
      <c r="P314" t="s">
        <v>30</v>
      </c>
      <c r="Q314" t="s">
        <v>43</v>
      </c>
      <c r="R314" t="s">
        <v>124</v>
      </c>
      <c r="S314" t="s">
        <v>43</v>
      </c>
      <c r="T314">
        <v>11382.113821138211</v>
      </c>
      <c r="U314">
        <v>2944.2691903259729</v>
      </c>
      <c r="V314">
        <v>7113.8211382113823</v>
      </c>
      <c r="W314">
        <v>1840.1682439537328</v>
      </c>
      <c r="X314">
        <f ca="1">IF(ISNUMBER(properties[[#This Row],[archivedDate]]),properties[[#This Row],[archivedDate]]-properties[[#This Row],[addedDate]],TODAY()-properties[[#This Row],[addedDate]])</f>
        <v>63</v>
      </c>
      <c r="Y314">
        <f ca="1">IF(ISNUMBER(properties[[#This Row],[archivedDate]]),properties[[#This Row],[archivedDate]]-properties[[#This Row],[addedDate]],TODAY()-properties[[#This Row],[addedDate]])</f>
        <v>63</v>
      </c>
    </row>
    <row r="315" spans="1:25" x14ac:dyDescent="0.25">
      <c r="A315" s="1">
        <v>46028</v>
      </c>
      <c r="B315" t="s">
        <v>1119</v>
      </c>
      <c r="C315" t="s">
        <v>372</v>
      </c>
      <c r="D315" s="1"/>
      <c r="E315" t="s">
        <v>350</v>
      </c>
      <c r="F315">
        <v>0</v>
      </c>
      <c r="G315" t="s">
        <v>1120</v>
      </c>
      <c r="H315" t="s">
        <v>1121</v>
      </c>
      <c r="I315">
        <v>0</v>
      </c>
      <c r="J315">
        <v>576</v>
      </c>
      <c r="K315">
        <v>0</v>
      </c>
      <c r="L315" t="s">
        <v>28</v>
      </c>
      <c r="M315">
        <v>86400</v>
      </c>
      <c r="N315">
        <v>0</v>
      </c>
      <c r="O315" t="s">
        <v>29</v>
      </c>
      <c r="P315" t="s">
        <v>98</v>
      </c>
      <c r="Q315" t="s">
        <v>43</v>
      </c>
      <c r="R315" t="s">
        <v>372</v>
      </c>
      <c r="S315" t="s">
        <v>43</v>
      </c>
      <c r="W315">
        <v>150</v>
      </c>
      <c r="X315">
        <f ca="1">IF(ISNUMBER(properties[[#This Row],[archivedDate]]),properties[[#This Row],[archivedDate]]-properties[[#This Row],[addedDate]],TODAY()-properties[[#This Row],[addedDate]])</f>
        <v>91</v>
      </c>
      <c r="Y315">
        <f ca="1">IF(ISNUMBER(properties[[#This Row],[archivedDate]]),properties[[#This Row],[archivedDate]]-properties[[#This Row],[addedDate]],TODAY()-properties[[#This Row],[addedDate]])</f>
        <v>91</v>
      </c>
    </row>
    <row r="316" spans="1:25" x14ac:dyDescent="0.25">
      <c r="A316" s="1">
        <v>46028</v>
      </c>
      <c r="B316" t="s">
        <v>1122</v>
      </c>
      <c r="C316" t="s">
        <v>372</v>
      </c>
      <c r="D316" s="1"/>
      <c r="E316" t="s">
        <v>350</v>
      </c>
      <c r="F316">
        <v>0</v>
      </c>
      <c r="G316" t="s">
        <v>1123</v>
      </c>
      <c r="H316" t="s">
        <v>1124</v>
      </c>
      <c r="I316">
        <v>0</v>
      </c>
      <c r="J316">
        <v>591</v>
      </c>
      <c r="K316">
        <v>0</v>
      </c>
      <c r="L316" t="s">
        <v>28</v>
      </c>
      <c r="M316">
        <v>88650</v>
      </c>
      <c r="N316">
        <v>0</v>
      </c>
      <c r="O316" t="s">
        <v>29</v>
      </c>
      <c r="P316" t="s">
        <v>98</v>
      </c>
      <c r="Q316" t="s">
        <v>43</v>
      </c>
      <c r="R316" t="s">
        <v>372</v>
      </c>
      <c r="S316" t="s">
        <v>43</v>
      </c>
      <c r="W316">
        <v>150</v>
      </c>
      <c r="X316">
        <f ca="1">IF(ISNUMBER(properties[[#This Row],[archivedDate]]),properties[[#This Row],[archivedDate]]-properties[[#This Row],[addedDate]],TODAY()-properties[[#This Row],[addedDate]])</f>
        <v>91</v>
      </c>
      <c r="Y316">
        <f ca="1">IF(ISNUMBER(properties[[#This Row],[archivedDate]]),properties[[#This Row],[archivedDate]]-properties[[#This Row],[addedDate]],TODAY()-properties[[#This Row],[addedDate]])</f>
        <v>91</v>
      </c>
    </row>
    <row r="317" spans="1:25" x14ac:dyDescent="0.25">
      <c r="A317" s="1">
        <v>46028</v>
      </c>
      <c r="B317" t="s">
        <v>1125</v>
      </c>
      <c r="C317" t="s">
        <v>372</v>
      </c>
      <c r="D317" s="1">
        <v>46049</v>
      </c>
      <c r="E317" t="s">
        <v>1126</v>
      </c>
      <c r="F317">
        <v>0</v>
      </c>
      <c r="G317" t="s">
        <v>1127</v>
      </c>
      <c r="H317" t="s">
        <v>1128</v>
      </c>
      <c r="I317">
        <v>0</v>
      </c>
      <c r="J317">
        <v>535</v>
      </c>
      <c r="K317">
        <v>0</v>
      </c>
      <c r="L317" t="s">
        <v>28</v>
      </c>
      <c r="M317">
        <v>80100</v>
      </c>
      <c r="N317">
        <v>0</v>
      </c>
      <c r="O317" t="s">
        <v>103</v>
      </c>
      <c r="P317" t="s">
        <v>98</v>
      </c>
      <c r="Q317" t="s">
        <v>43</v>
      </c>
      <c r="R317" t="s">
        <v>372</v>
      </c>
      <c r="S317" t="s">
        <v>43</v>
      </c>
      <c r="W317">
        <v>149.71962616822429</v>
      </c>
      <c r="X317">
        <f ca="1">IF(ISNUMBER(properties[[#This Row],[archivedDate]]),properties[[#This Row],[archivedDate]]-properties[[#This Row],[addedDate]],TODAY()-properties[[#This Row],[addedDate]])</f>
        <v>21</v>
      </c>
      <c r="Y317">
        <f ca="1">IF(ISNUMBER(properties[[#This Row],[archivedDate]]),properties[[#This Row],[archivedDate]]-properties[[#This Row],[addedDate]],TODAY()-properties[[#This Row],[addedDate]])</f>
        <v>21</v>
      </c>
    </row>
    <row r="318" spans="1:25" x14ac:dyDescent="0.25">
      <c r="A318" s="1">
        <v>46028</v>
      </c>
      <c r="B318" t="s">
        <v>1129</v>
      </c>
      <c r="C318" t="s">
        <v>372</v>
      </c>
      <c r="D318" s="1">
        <v>46049</v>
      </c>
      <c r="E318" t="s">
        <v>350</v>
      </c>
      <c r="F318">
        <v>0</v>
      </c>
      <c r="G318" t="s">
        <v>1130</v>
      </c>
      <c r="H318" t="s">
        <v>1131</v>
      </c>
      <c r="I318">
        <v>0</v>
      </c>
      <c r="J318">
        <v>501</v>
      </c>
      <c r="K318">
        <v>0</v>
      </c>
      <c r="L318" t="s">
        <v>28</v>
      </c>
      <c r="M318">
        <v>280170</v>
      </c>
      <c r="N318">
        <v>0</v>
      </c>
      <c r="O318" t="s">
        <v>103</v>
      </c>
      <c r="P318" t="s">
        <v>98</v>
      </c>
      <c r="Q318" t="s">
        <v>43</v>
      </c>
      <c r="R318" t="s">
        <v>372</v>
      </c>
      <c r="S318" t="s">
        <v>43</v>
      </c>
      <c r="W318">
        <v>559.22155688622752</v>
      </c>
      <c r="X318">
        <f ca="1">IF(ISNUMBER(properties[[#This Row],[archivedDate]]),properties[[#This Row],[archivedDate]]-properties[[#This Row],[addedDate]],TODAY()-properties[[#This Row],[addedDate]])</f>
        <v>21</v>
      </c>
      <c r="Y318">
        <f ca="1">IF(ISNUMBER(properties[[#This Row],[archivedDate]]),properties[[#This Row],[archivedDate]]-properties[[#This Row],[addedDate]],TODAY()-properties[[#This Row],[addedDate]])</f>
        <v>21</v>
      </c>
    </row>
    <row r="319" spans="1:25" x14ac:dyDescent="0.25">
      <c r="A319" s="1">
        <v>46028</v>
      </c>
      <c r="B319" t="s">
        <v>1132</v>
      </c>
      <c r="C319" t="s">
        <v>372</v>
      </c>
      <c r="D319" s="1"/>
      <c r="E319" t="s">
        <v>1133</v>
      </c>
      <c r="F319">
        <v>0</v>
      </c>
      <c r="G319" t="s">
        <v>1134</v>
      </c>
      <c r="H319" t="s">
        <v>1135</v>
      </c>
      <c r="I319">
        <v>0</v>
      </c>
      <c r="J319">
        <v>661</v>
      </c>
      <c r="K319">
        <v>0</v>
      </c>
      <c r="L319" t="s">
        <v>28</v>
      </c>
      <c r="M319">
        <v>327195</v>
      </c>
      <c r="N319">
        <v>0</v>
      </c>
      <c r="O319" t="s">
        <v>29</v>
      </c>
      <c r="P319" t="s">
        <v>98</v>
      </c>
      <c r="Q319" t="s">
        <v>43</v>
      </c>
      <c r="R319" t="s">
        <v>372</v>
      </c>
      <c r="S319" t="s">
        <v>43</v>
      </c>
      <c r="W319">
        <v>495</v>
      </c>
      <c r="X319">
        <f ca="1">IF(ISNUMBER(properties[[#This Row],[archivedDate]]),properties[[#This Row],[archivedDate]]-properties[[#This Row],[addedDate]],TODAY()-properties[[#This Row],[addedDate]])</f>
        <v>91</v>
      </c>
      <c r="Y319">
        <f ca="1">IF(ISNUMBER(properties[[#This Row],[archivedDate]]),properties[[#This Row],[archivedDate]]-properties[[#This Row],[addedDate]],TODAY()-properties[[#This Row],[addedDate]])</f>
        <v>91</v>
      </c>
    </row>
    <row r="320" spans="1:25" x14ac:dyDescent="0.25">
      <c r="A320" s="1">
        <v>46028</v>
      </c>
      <c r="B320" t="s">
        <v>1136</v>
      </c>
      <c r="C320" t="s">
        <v>372</v>
      </c>
      <c r="D320" s="1"/>
      <c r="E320" t="s">
        <v>488</v>
      </c>
      <c r="F320">
        <v>0</v>
      </c>
      <c r="G320" t="s">
        <v>1137</v>
      </c>
      <c r="H320" t="s">
        <v>1138</v>
      </c>
      <c r="I320">
        <v>0</v>
      </c>
      <c r="J320">
        <v>678</v>
      </c>
      <c r="K320">
        <v>0</v>
      </c>
      <c r="L320" t="s">
        <v>28</v>
      </c>
      <c r="M320">
        <v>335610</v>
      </c>
      <c r="N320">
        <v>0</v>
      </c>
      <c r="O320" t="s">
        <v>29</v>
      </c>
      <c r="P320" t="s">
        <v>98</v>
      </c>
      <c r="Q320" t="s">
        <v>43</v>
      </c>
      <c r="R320" t="s">
        <v>372</v>
      </c>
      <c r="S320" t="s">
        <v>43</v>
      </c>
      <c r="W320">
        <v>495</v>
      </c>
      <c r="X320">
        <f ca="1">IF(ISNUMBER(properties[[#This Row],[archivedDate]]),properties[[#This Row],[archivedDate]]-properties[[#This Row],[addedDate]],TODAY()-properties[[#This Row],[addedDate]])</f>
        <v>91</v>
      </c>
      <c r="Y320">
        <f ca="1">IF(ISNUMBER(properties[[#This Row],[archivedDate]]),properties[[#This Row],[archivedDate]]-properties[[#This Row],[addedDate]],TODAY()-properties[[#This Row],[addedDate]])</f>
        <v>91</v>
      </c>
    </row>
    <row r="321" spans="1:25" x14ac:dyDescent="0.25">
      <c r="A321" s="1">
        <v>46028</v>
      </c>
      <c r="B321" t="s">
        <v>1139</v>
      </c>
      <c r="C321" t="s">
        <v>372</v>
      </c>
      <c r="D321" s="1"/>
      <c r="E321" t="s">
        <v>115</v>
      </c>
      <c r="F321">
        <v>0</v>
      </c>
      <c r="G321" t="s">
        <v>1140</v>
      </c>
      <c r="H321" t="s">
        <v>1141</v>
      </c>
      <c r="I321">
        <v>0</v>
      </c>
      <c r="J321">
        <v>643</v>
      </c>
      <c r="K321">
        <v>0</v>
      </c>
      <c r="L321" t="s">
        <v>28</v>
      </c>
      <c r="M321">
        <v>318285</v>
      </c>
      <c r="N321">
        <v>0</v>
      </c>
      <c r="O321" t="s">
        <v>29</v>
      </c>
      <c r="P321" t="s">
        <v>98</v>
      </c>
      <c r="Q321" t="s">
        <v>43</v>
      </c>
      <c r="R321" t="s">
        <v>372</v>
      </c>
      <c r="S321" t="s">
        <v>43</v>
      </c>
      <c r="W321">
        <v>495</v>
      </c>
      <c r="X321">
        <f ca="1">IF(ISNUMBER(properties[[#This Row],[archivedDate]]),properties[[#This Row],[archivedDate]]-properties[[#This Row],[addedDate]],TODAY()-properties[[#This Row],[addedDate]])</f>
        <v>91</v>
      </c>
      <c r="Y321">
        <f ca="1">IF(ISNUMBER(properties[[#This Row],[archivedDate]]),properties[[#This Row],[archivedDate]]-properties[[#This Row],[addedDate]],TODAY()-properties[[#This Row],[addedDate]])</f>
        <v>91</v>
      </c>
    </row>
    <row r="322" spans="1:25" x14ac:dyDescent="0.25">
      <c r="A322" s="1">
        <v>46028</v>
      </c>
      <c r="B322" t="s">
        <v>1142</v>
      </c>
      <c r="C322" t="s">
        <v>372</v>
      </c>
      <c r="D322" s="1"/>
      <c r="E322" t="s">
        <v>115</v>
      </c>
      <c r="F322">
        <v>0</v>
      </c>
      <c r="G322" t="s">
        <v>1143</v>
      </c>
      <c r="H322" t="s">
        <v>1144</v>
      </c>
      <c r="I322">
        <v>0</v>
      </c>
      <c r="J322">
        <v>643</v>
      </c>
      <c r="K322">
        <v>0</v>
      </c>
      <c r="L322" t="s">
        <v>28</v>
      </c>
      <c r="M322">
        <v>318285</v>
      </c>
      <c r="N322">
        <v>0</v>
      </c>
      <c r="O322" t="s">
        <v>29</v>
      </c>
      <c r="P322" t="s">
        <v>98</v>
      </c>
      <c r="Q322" t="s">
        <v>43</v>
      </c>
      <c r="R322" t="s">
        <v>372</v>
      </c>
      <c r="S322" t="s">
        <v>43</v>
      </c>
      <c r="W322">
        <v>495</v>
      </c>
      <c r="X322">
        <f ca="1">IF(ISNUMBER(properties[[#This Row],[archivedDate]]),properties[[#This Row],[archivedDate]]-properties[[#This Row],[addedDate]],TODAY()-properties[[#This Row],[addedDate]])</f>
        <v>91</v>
      </c>
      <c r="Y322">
        <f ca="1">IF(ISNUMBER(properties[[#This Row],[archivedDate]]),properties[[#This Row],[archivedDate]]-properties[[#This Row],[addedDate]],TODAY()-properties[[#This Row],[addedDate]])</f>
        <v>91</v>
      </c>
    </row>
    <row r="323" spans="1:25" x14ac:dyDescent="0.25">
      <c r="A323" s="1">
        <v>46029</v>
      </c>
      <c r="B323" t="s">
        <v>1145</v>
      </c>
      <c r="C323" t="s">
        <v>372</v>
      </c>
      <c r="D323" s="1"/>
      <c r="E323" t="s">
        <v>338</v>
      </c>
      <c r="F323">
        <v>0</v>
      </c>
      <c r="G323" t="s">
        <v>1146</v>
      </c>
      <c r="H323" t="s">
        <v>1147</v>
      </c>
      <c r="I323">
        <v>0</v>
      </c>
      <c r="J323">
        <v>593</v>
      </c>
      <c r="K323">
        <v>0</v>
      </c>
      <c r="L323" t="s">
        <v>28</v>
      </c>
      <c r="M323">
        <v>88950</v>
      </c>
      <c r="N323">
        <v>0</v>
      </c>
      <c r="O323" t="s">
        <v>29</v>
      </c>
      <c r="P323" t="s">
        <v>98</v>
      </c>
      <c r="Q323" t="s">
        <v>43</v>
      </c>
      <c r="R323" t="s">
        <v>372</v>
      </c>
      <c r="S323" t="s">
        <v>43</v>
      </c>
      <c r="W323">
        <v>150</v>
      </c>
      <c r="X323">
        <f ca="1">IF(ISNUMBER(properties[[#This Row],[archivedDate]]),properties[[#This Row],[archivedDate]]-properties[[#This Row],[addedDate]],TODAY()-properties[[#This Row],[addedDate]])</f>
        <v>90</v>
      </c>
      <c r="Y323">
        <f ca="1">IF(ISNUMBER(properties[[#This Row],[archivedDate]]),properties[[#This Row],[archivedDate]]-properties[[#This Row],[addedDate]],TODAY()-properties[[#This Row],[addedDate]])</f>
        <v>90</v>
      </c>
    </row>
    <row r="324" spans="1:25" x14ac:dyDescent="0.25">
      <c r="A324" s="1">
        <v>46029</v>
      </c>
      <c r="B324" t="s">
        <v>1148</v>
      </c>
      <c r="C324" t="s">
        <v>372</v>
      </c>
      <c r="D324" s="1"/>
      <c r="E324" t="s">
        <v>338</v>
      </c>
      <c r="F324">
        <v>0</v>
      </c>
      <c r="G324" t="s">
        <v>1149</v>
      </c>
      <c r="H324" t="s">
        <v>1150</v>
      </c>
      <c r="I324">
        <v>0</v>
      </c>
      <c r="J324">
        <v>663</v>
      </c>
      <c r="K324">
        <v>0</v>
      </c>
      <c r="L324" t="s">
        <v>28</v>
      </c>
      <c r="M324">
        <v>328185</v>
      </c>
      <c r="N324">
        <v>0</v>
      </c>
      <c r="O324" t="s">
        <v>29</v>
      </c>
      <c r="P324" t="s">
        <v>98</v>
      </c>
      <c r="Q324" t="s">
        <v>43</v>
      </c>
      <c r="R324" t="s">
        <v>372</v>
      </c>
      <c r="S324" t="s">
        <v>43</v>
      </c>
      <c r="W324">
        <v>495</v>
      </c>
      <c r="X324">
        <f ca="1">IF(ISNUMBER(properties[[#This Row],[archivedDate]]),properties[[#This Row],[archivedDate]]-properties[[#This Row],[addedDate]],TODAY()-properties[[#This Row],[addedDate]])</f>
        <v>90</v>
      </c>
      <c r="Y324">
        <f ca="1">IF(ISNUMBER(properties[[#This Row],[archivedDate]]),properties[[#This Row],[archivedDate]]-properties[[#This Row],[addedDate]],TODAY()-properties[[#This Row],[addedDate]])</f>
        <v>90</v>
      </c>
    </row>
    <row r="325" spans="1:25" x14ac:dyDescent="0.25">
      <c r="A325" s="1">
        <v>46029</v>
      </c>
      <c r="B325" t="s">
        <v>1151</v>
      </c>
      <c r="C325" t="s">
        <v>372</v>
      </c>
      <c r="D325" s="1"/>
      <c r="E325" t="s">
        <v>165</v>
      </c>
      <c r="F325">
        <v>0</v>
      </c>
      <c r="G325" t="s">
        <v>1152</v>
      </c>
      <c r="H325" t="s">
        <v>1153</v>
      </c>
      <c r="I325">
        <v>0</v>
      </c>
      <c r="J325">
        <v>698</v>
      </c>
      <c r="K325">
        <v>0</v>
      </c>
      <c r="L325" t="s">
        <v>28</v>
      </c>
      <c r="M325">
        <v>104700</v>
      </c>
      <c r="N325">
        <v>0</v>
      </c>
      <c r="O325" t="s">
        <v>29</v>
      </c>
      <c r="P325" t="s">
        <v>98</v>
      </c>
      <c r="Q325" t="s">
        <v>43</v>
      </c>
      <c r="R325" t="s">
        <v>372</v>
      </c>
      <c r="S325" t="s">
        <v>43</v>
      </c>
      <c r="W325">
        <v>150</v>
      </c>
      <c r="X325">
        <f ca="1">IF(ISNUMBER(properties[[#This Row],[archivedDate]]),properties[[#This Row],[archivedDate]]-properties[[#This Row],[addedDate]],TODAY()-properties[[#This Row],[addedDate]])</f>
        <v>90</v>
      </c>
      <c r="Y325">
        <f ca="1">IF(ISNUMBER(properties[[#This Row],[archivedDate]]),properties[[#This Row],[archivedDate]]-properties[[#This Row],[addedDate]],TODAY()-properties[[#This Row],[addedDate]])</f>
        <v>90</v>
      </c>
    </row>
    <row r="326" spans="1:25" x14ac:dyDescent="0.25">
      <c r="A326" s="1">
        <v>46029</v>
      </c>
      <c r="B326" t="s">
        <v>1154</v>
      </c>
      <c r="C326" t="s">
        <v>372</v>
      </c>
      <c r="D326" s="1"/>
      <c r="E326" t="s">
        <v>1133</v>
      </c>
      <c r="F326">
        <v>0</v>
      </c>
      <c r="G326" t="s">
        <v>1155</v>
      </c>
      <c r="H326" t="s">
        <v>1156</v>
      </c>
      <c r="I326">
        <v>0</v>
      </c>
      <c r="J326">
        <v>551</v>
      </c>
      <c r="K326">
        <v>0</v>
      </c>
      <c r="L326" t="s">
        <v>28</v>
      </c>
      <c r="M326">
        <v>82800</v>
      </c>
      <c r="N326">
        <v>0</v>
      </c>
      <c r="O326" t="s">
        <v>29</v>
      </c>
      <c r="P326" t="s">
        <v>98</v>
      </c>
      <c r="Q326" t="s">
        <v>43</v>
      </c>
      <c r="R326" t="s">
        <v>372</v>
      </c>
      <c r="S326" t="s">
        <v>43</v>
      </c>
      <c r="W326">
        <v>150.27223230490017</v>
      </c>
      <c r="X326">
        <f ca="1">IF(ISNUMBER(properties[[#This Row],[archivedDate]]),properties[[#This Row],[archivedDate]]-properties[[#This Row],[addedDate]],TODAY()-properties[[#This Row],[addedDate]])</f>
        <v>90</v>
      </c>
      <c r="Y326">
        <f ca="1">IF(ISNUMBER(properties[[#This Row],[archivedDate]]),properties[[#This Row],[archivedDate]]-properties[[#This Row],[addedDate]],TODAY()-properties[[#This Row],[addedDate]])</f>
        <v>90</v>
      </c>
    </row>
    <row r="327" spans="1:25" x14ac:dyDescent="0.25">
      <c r="A327" s="1">
        <v>46029</v>
      </c>
      <c r="B327" t="s">
        <v>1157</v>
      </c>
      <c r="C327" t="s">
        <v>372</v>
      </c>
      <c r="D327" s="1"/>
      <c r="E327" t="s">
        <v>1133</v>
      </c>
      <c r="F327">
        <v>0</v>
      </c>
      <c r="G327" t="s">
        <v>1158</v>
      </c>
      <c r="H327" t="s">
        <v>1159</v>
      </c>
      <c r="I327">
        <v>0</v>
      </c>
      <c r="J327">
        <v>497</v>
      </c>
      <c r="K327">
        <v>0</v>
      </c>
      <c r="L327" t="s">
        <v>28</v>
      </c>
      <c r="M327">
        <v>404015</v>
      </c>
      <c r="N327">
        <v>0</v>
      </c>
      <c r="O327" t="s">
        <v>29</v>
      </c>
      <c r="P327" t="s">
        <v>98</v>
      </c>
      <c r="Q327" t="s">
        <v>43</v>
      </c>
      <c r="R327" t="s">
        <v>372</v>
      </c>
      <c r="S327" t="s">
        <v>43</v>
      </c>
      <c r="W327">
        <v>812.907444668008</v>
      </c>
      <c r="X327">
        <f ca="1">IF(ISNUMBER(properties[[#This Row],[archivedDate]]),properties[[#This Row],[archivedDate]]-properties[[#This Row],[addedDate]],TODAY()-properties[[#This Row],[addedDate]])</f>
        <v>90</v>
      </c>
      <c r="Y327">
        <f ca="1">IF(ISNUMBER(properties[[#This Row],[archivedDate]]),properties[[#This Row],[archivedDate]]-properties[[#This Row],[addedDate]],TODAY()-properties[[#This Row],[addedDate]])</f>
        <v>90</v>
      </c>
    </row>
    <row r="328" spans="1:25" x14ac:dyDescent="0.25">
      <c r="A328" s="1">
        <v>46030</v>
      </c>
      <c r="B328" t="s">
        <v>1160</v>
      </c>
      <c r="C328" t="s">
        <v>372</v>
      </c>
      <c r="D328" s="1"/>
      <c r="E328" t="s">
        <v>229</v>
      </c>
      <c r="F328">
        <v>2</v>
      </c>
      <c r="G328" t="s">
        <v>1161</v>
      </c>
      <c r="H328" t="s">
        <v>1162</v>
      </c>
      <c r="I328">
        <v>123</v>
      </c>
      <c r="J328">
        <v>506</v>
      </c>
      <c r="K328">
        <v>0</v>
      </c>
      <c r="L328" t="s">
        <v>28</v>
      </c>
      <c r="M328">
        <v>1295000</v>
      </c>
      <c r="N328">
        <v>0</v>
      </c>
      <c r="O328" t="s">
        <v>29</v>
      </c>
      <c r="P328" t="s">
        <v>30</v>
      </c>
      <c r="Q328" t="s">
        <v>43</v>
      </c>
      <c r="R328" t="s">
        <v>372</v>
      </c>
      <c r="S328" t="s">
        <v>43</v>
      </c>
      <c r="V328">
        <v>10528.455284552845</v>
      </c>
      <c r="W328">
        <v>2559.288537549407</v>
      </c>
      <c r="X328">
        <f ca="1">IF(ISNUMBER(properties[[#This Row],[archivedDate]]),properties[[#This Row],[archivedDate]]-properties[[#This Row],[addedDate]],TODAY()-properties[[#This Row],[addedDate]])</f>
        <v>89</v>
      </c>
      <c r="Y328">
        <f ca="1">IF(ISNUMBER(properties[[#This Row],[archivedDate]]),properties[[#This Row],[archivedDate]]-properties[[#This Row],[addedDate]],TODAY()-properties[[#This Row],[addedDate]])</f>
        <v>89</v>
      </c>
    </row>
    <row r="329" spans="1:25" x14ac:dyDescent="0.25">
      <c r="A329" s="1">
        <v>46031</v>
      </c>
      <c r="B329" t="s">
        <v>1163</v>
      </c>
      <c r="C329" t="s">
        <v>372</v>
      </c>
      <c r="D329" s="1">
        <v>46078</v>
      </c>
      <c r="E329" t="s">
        <v>350</v>
      </c>
      <c r="F329">
        <v>0</v>
      </c>
      <c r="G329" t="s">
        <v>1164</v>
      </c>
      <c r="H329" t="s">
        <v>1165</v>
      </c>
      <c r="I329">
        <v>0</v>
      </c>
      <c r="J329">
        <v>501</v>
      </c>
      <c r="K329">
        <v>0</v>
      </c>
      <c r="L329" t="s">
        <v>28</v>
      </c>
      <c r="M329">
        <v>247995</v>
      </c>
      <c r="N329">
        <v>0</v>
      </c>
      <c r="O329" t="s">
        <v>103</v>
      </c>
      <c r="P329" t="s">
        <v>98</v>
      </c>
      <c r="Q329" t="s">
        <v>43</v>
      </c>
      <c r="R329" t="s">
        <v>372</v>
      </c>
      <c r="S329" t="s">
        <v>43</v>
      </c>
      <c r="W329">
        <v>495</v>
      </c>
      <c r="X329">
        <f ca="1">IF(ISNUMBER(properties[[#This Row],[archivedDate]]),properties[[#This Row],[archivedDate]]-properties[[#This Row],[addedDate]],TODAY()-properties[[#This Row],[addedDate]])</f>
        <v>47</v>
      </c>
      <c r="Y329">
        <f ca="1">IF(ISNUMBER(properties[[#This Row],[archivedDate]]),properties[[#This Row],[archivedDate]]-properties[[#This Row],[addedDate]],TODAY()-properties[[#This Row],[addedDate]])</f>
        <v>47</v>
      </c>
    </row>
    <row r="330" spans="1:25" x14ac:dyDescent="0.25">
      <c r="A330" s="1">
        <v>46031</v>
      </c>
      <c r="B330" t="s">
        <v>1166</v>
      </c>
      <c r="C330" t="s">
        <v>372</v>
      </c>
      <c r="D330" s="1">
        <v>46107</v>
      </c>
      <c r="E330" t="s">
        <v>350</v>
      </c>
      <c r="F330">
        <v>0</v>
      </c>
      <c r="G330" t="s">
        <v>1167</v>
      </c>
      <c r="H330" t="s">
        <v>1168</v>
      </c>
      <c r="I330">
        <v>0</v>
      </c>
      <c r="J330">
        <v>501</v>
      </c>
      <c r="K330">
        <v>0</v>
      </c>
      <c r="L330" t="s">
        <v>28</v>
      </c>
      <c r="M330">
        <v>247995</v>
      </c>
      <c r="N330">
        <v>0</v>
      </c>
      <c r="O330" t="s">
        <v>103</v>
      </c>
      <c r="P330" t="s">
        <v>98</v>
      </c>
      <c r="Q330" t="s">
        <v>43</v>
      </c>
      <c r="R330" t="s">
        <v>372</v>
      </c>
      <c r="S330" t="s">
        <v>43</v>
      </c>
      <c r="W330">
        <v>495</v>
      </c>
      <c r="X330">
        <f ca="1">IF(ISNUMBER(properties[[#This Row],[archivedDate]]),properties[[#This Row],[archivedDate]]-properties[[#This Row],[addedDate]],TODAY()-properties[[#This Row],[addedDate]])</f>
        <v>76</v>
      </c>
      <c r="Y330">
        <f ca="1">IF(ISNUMBER(properties[[#This Row],[archivedDate]]),properties[[#This Row],[archivedDate]]-properties[[#This Row],[addedDate]],TODAY()-properties[[#This Row],[addedDate]])</f>
        <v>76</v>
      </c>
    </row>
    <row r="331" spans="1:25" x14ac:dyDescent="0.25">
      <c r="A331" s="1">
        <v>46031</v>
      </c>
      <c r="B331" t="s">
        <v>1169</v>
      </c>
      <c r="C331" t="s">
        <v>372</v>
      </c>
      <c r="D331" s="1">
        <v>46087</v>
      </c>
      <c r="E331" t="s">
        <v>350</v>
      </c>
      <c r="F331">
        <v>0</v>
      </c>
      <c r="G331" t="s">
        <v>1170</v>
      </c>
      <c r="H331" t="s">
        <v>1171</v>
      </c>
      <c r="I331">
        <v>0</v>
      </c>
      <c r="J331">
        <v>501</v>
      </c>
      <c r="K331">
        <v>0</v>
      </c>
      <c r="L331" t="s">
        <v>28</v>
      </c>
      <c r="M331">
        <v>247995</v>
      </c>
      <c r="N331">
        <v>0</v>
      </c>
      <c r="O331" t="s">
        <v>103</v>
      </c>
      <c r="P331" t="s">
        <v>98</v>
      </c>
      <c r="Q331" t="s">
        <v>43</v>
      </c>
      <c r="R331" t="s">
        <v>372</v>
      </c>
      <c r="S331" t="s">
        <v>43</v>
      </c>
      <c r="W331">
        <v>495</v>
      </c>
      <c r="X331">
        <f ca="1">IF(ISNUMBER(properties[[#This Row],[archivedDate]]),properties[[#This Row],[archivedDate]]-properties[[#This Row],[addedDate]],TODAY()-properties[[#This Row],[addedDate]])</f>
        <v>56</v>
      </c>
      <c r="Y331">
        <f ca="1">IF(ISNUMBER(properties[[#This Row],[archivedDate]]),properties[[#This Row],[archivedDate]]-properties[[#This Row],[addedDate]],TODAY()-properties[[#This Row],[addedDate]])</f>
        <v>56</v>
      </c>
    </row>
    <row r="332" spans="1:25" x14ac:dyDescent="0.25">
      <c r="A332" s="1">
        <v>46035</v>
      </c>
      <c r="B332" t="s">
        <v>1172</v>
      </c>
      <c r="C332" t="s">
        <v>120</v>
      </c>
      <c r="D332" s="1"/>
      <c r="E332" t="s">
        <v>34</v>
      </c>
      <c r="F332">
        <v>0</v>
      </c>
      <c r="G332" t="s">
        <v>1173</v>
      </c>
      <c r="H332" t="s">
        <v>1174</v>
      </c>
      <c r="I332">
        <v>315</v>
      </c>
      <c r="J332">
        <v>282</v>
      </c>
      <c r="K332">
        <v>4800000</v>
      </c>
      <c r="L332" t="s">
        <v>28</v>
      </c>
      <c r="M332">
        <v>4800000</v>
      </c>
      <c r="N332">
        <v>0</v>
      </c>
      <c r="O332" t="s">
        <v>29</v>
      </c>
      <c r="P332" t="s">
        <v>297</v>
      </c>
      <c r="Q332" t="s">
        <v>43</v>
      </c>
      <c r="R332" t="s">
        <v>124</v>
      </c>
      <c r="S332" t="s">
        <v>1175</v>
      </c>
      <c r="T332">
        <v>15238.095238095239</v>
      </c>
      <c r="U332">
        <v>17021.276595744679</v>
      </c>
      <c r="V332">
        <v>15238.095238095239</v>
      </c>
      <c r="W332">
        <v>17021.276595744679</v>
      </c>
      <c r="X332">
        <f ca="1">IF(ISNUMBER(properties[[#This Row],[archivedDate]]),properties[[#This Row],[archivedDate]]-properties[[#This Row],[addedDate]],TODAY()-properties[[#This Row],[addedDate]])</f>
        <v>84</v>
      </c>
      <c r="Y332">
        <f ca="1">IF(ISNUMBER(properties[[#This Row],[archivedDate]]),properties[[#This Row],[archivedDate]]-properties[[#This Row],[addedDate]],TODAY()-properties[[#This Row],[addedDate]])</f>
        <v>84</v>
      </c>
    </row>
    <row r="333" spans="1:25" x14ac:dyDescent="0.25">
      <c r="A333" s="1">
        <v>46035</v>
      </c>
      <c r="B333" t="s">
        <v>1176</v>
      </c>
      <c r="C333" t="s">
        <v>372</v>
      </c>
      <c r="D333" s="1">
        <v>46050</v>
      </c>
      <c r="E333" t="s">
        <v>346</v>
      </c>
      <c r="F333">
        <v>0</v>
      </c>
      <c r="G333" t="s">
        <v>1177</v>
      </c>
      <c r="H333" t="s">
        <v>1178</v>
      </c>
      <c r="I333">
        <v>0</v>
      </c>
      <c r="J333">
        <v>703</v>
      </c>
      <c r="K333">
        <v>300000</v>
      </c>
      <c r="L333" t="s">
        <v>28</v>
      </c>
      <c r="M333">
        <v>250000</v>
      </c>
      <c r="N333">
        <v>0</v>
      </c>
      <c r="O333" t="s">
        <v>103</v>
      </c>
      <c r="P333" t="s">
        <v>98</v>
      </c>
      <c r="Q333" t="s">
        <v>43</v>
      </c>
      <c r="R333" t="s">
        <v>372</v>
      </c>
      <c r="S333" t="s">
        <v>43</v>
      </c>
      <c r="U333">
        <v>426.7425320056899</v>
      </c>
      <c r="W333">
        <v>355.61877667140823</v>
      </c>
      <c r="X333">
        <f ca="1">IF(ISNUMBER(properties[[#This Row],[archivedDate]]),properties[[#This Row],[archivedDate]]-properties[[#This Row],[addedDate]],TODAY()-properties[[#This Row],[addedDate]])</f>
        <v>15</v>
      </c>
      <c r="Y333">
        <f ca="1">IF(ISNUMBER(properties[[#This Row],[archivedDate]]),properties[[#This Row],[archivedDate]]-properties[[#This Row],[addedDate]],TODAY()-properties[[#This Row],[addedDate]])</f>
        <v>15</v>
      </c>
    </row>
    <row r="334" spans="1:25" x14ac:dyDescent="0.25">
      <c r="A334" s="1">
        <v>46042</v>
      </c>
      <c r="B334" t="s">
        <v>1179</v>
      </c>
      <c r="C334" t="s">
        <v>372</v>
      </c>
      <c r="D334" s="1"/>
      <c r="E334" t="s">
        <v>95</v>
      </c>
      <c r="F334">
        <v>2</v>
      </c>
      <c r="G334" t="s">
        <v>1180</v>
      </c>
      <c r="H334" t="s">
        <v>1181</v>
      </c>
      <c r="I334">
        <v>46</v>
      </c>
      <c r="J334">
        <v>1035</v>
      </c>
      <c r="K334">
        <v>0</v>
      </c>
      <c r="L334" t="s">
        <v>28</v>
      </c>
      <c r="M334">
        <v>495000</v>
      </c>
      <c r="N334">
        <v>0</v>
      </c>
      <c r="O334" t="s">
        <v>29</v>
      </c>
      <c r="P334" t="s">
        <v>55</v>
      </c>
      <c r="Q334" t="s">
        <v>43</v>
      </c>
      <c r="R334" t="s">
        <v>372</v>
      </c>
      <c r="S334" t="s">
        <v>43</v>
      </c>
      <c r="V334">
        <v>10760.869565217392</v>
      </c>
      <c r="W334">
        <v>478.26086956521738</v>
      </c>
      <c r="X334">
        <f ca="1">IF(ISNUMBER(properties[[#This Row],[archivedDate]]),properties[[#This Row],[archivedDate]]-properties[[#This Row],[addedDate]],TODAY()-properties[[#This Row],[addedDate]])</f>
        <v>77</v>
      </c>
      <c r="Y334">
        <f ca="1">IF(ISNUMBER(properties[[#This Row],[archivedDate]]),properties[[#This Row],[archivedDate]]-properties[[#This Row],[addedDate]],TODAY()-properties[[#This Row],[addedDate]])</f>
        <v>77</v>
      </c>
    </row>
    <row r="335" spans="1:25" x14ac:dyDescent="0.25">
      <c r="A335" s="1">
        <v>46043</v>
      </c>
      <c r="B335" t="s">
        <v>1182</v>
      </c>
      <c r="C335" t="s">
        <v>120</v>
      </c>
      <c r="D335" s="1">
        <v>46083</v>
      </c>
      <c r="E335" t="s">
        <v>34</v>
      </c>
      <c r="F335">
        <v>0</v>
      </c>
      <c r="G335" t="s">
        <v>1183</v>
      </c>
      <c r="H335" t="s">
        <v>1184</v>
      </c>
      <c r="I335">
        <v>153</v>
      </c>
      <c r="J335">
        <v>122</v>
      </c>
      <c r="K335">
        <v>0</v>
      </c>
      <c r="L335" t="s">
        <v>28</v>
      </c>
      <c r="M335">
        <v>5500000</v>
      </c>
      <c r="N335">
        <v>0</v>
      </c>
      <c r="O335" t="s">
        <v>103</v>
      </c>
      <c r="P335" t="s">
        <v>108</v>
      </c>
      <c r="Q335" t="s">
        <v>43</v>
      </c>
      <c r="R335" t="s">
        <v>124</v>
      </c>
      <c r="S335" t="s">
        <v>43</v>
      </c>
      <c r="V335">
        <v>35947.712418300653</v>
      </c>
      <c r="W335">
        <v>45081.967213114753</v>
      </c>
      <c r="X335">
        <f ca="1">IF(ISNUMBER(properties[[#This Row],[archivedDate]]),properties[[#This Row],[archivedDate]]-properties[[#This Row],[addedDate]],TODAY()-properties[[#This Row],[addedDate]])</f>
        <v>40</v>
      </c>
      <c r="Y335">
        <f ca="1">IF(ISNUMBER(properties[[#This Row],[archivedDate]]),properties[[#This Row],[archivedDate]]-properties[[#This Row],[addedDate]],TODAY()-properties[[#This Row],[addedDate]])</f>
        <v>40</v>
      </c>
    </row>
    <row r="336" spans="1:25" x14ac:dyDescent="0.25">
      <c r="A336" s="1">
        <v>46043</v>
      </c>
      <c r="B336" t="s">
        <v>1185</v>
      </c>
      <c r="C336" t="s">
        <v>120</v>
      </c>
      <c r="D336" s="1"/>
      <c r="E336" t="s">
        <v>34</v>
      </c>
      <c r="F336">
        <v>0</v>
      </c>
      <c r="G336" t="s">
        <v>1186</v>
      </c>
      <c r="H336" t="s">
        <v>1187</v>
      </c>
      <c r="I336">
        <v>279</v>
      </c>
      <c r="J336">
        <v>497</v>
      </c>
      <c r="K336">
        <v>8400000</v>
      </c>
      <c r="L336" t="s">
        <v>28</v>
      </c>
      <c r="M336">
        <v>7500000</v>
      </c>
      <c r="N336">
        <v>0</v>
      </c>
      <c r="O336" t="s">
        <v>29</v>
      </c>
      <c r="P336" t="s">
        <v>30</v>
      </c>
      <c r="Q336" t="s">
        <v>43</v>
      </c>
      <c r="R336" t="s">
        <v>124</v>
      </c>
      <c r="S336" t="s">
        <v>1188</v>
      </c>
      <c r="T336">
        <v>30107.526881720431</v>
      </c>
      <c r="U336">
        <v>16901.408450704224</v>
      </c>
      <c r="V336">
        <v>26881.720430107525</v>
      </c>
      <c r="W336">
        <v>15090.543259557344</v>
      </c>
      <c r="X336">
        <f ca="1">IF(ISNUMBER(properties[[#This Row],[archivedDate]]),properties[[#This Row],[archivedDate]]-properties[[#This Row],[addedDate]],TODAY()-properties[[#This Row],[addedDate]])</f>
        <v>76</v>
      </c>
      <c r="Y336">
        <f ca="1">IF(ISNUMBER(properties[[#This Row],[archivedDate]]),properties[[#This Row],[archivedDate]]-properties[[#This Row],[addedDate]],TODAY()-properties[[#This Row],[addedDate]])</f>
        <v>76</v>
      </c>
    </row>
    <row r="337" spans="1:25" x14ac:dyDescent="0.25">
      <c r="A337" s="1">
        <v>46045</v>
      </c>
      <c r="B337" t="s">
        <v>1189</v>
      </c>
      <c r="C337" t="s">
        <v>120</v>
      </c>
      <c r="D337" s="1">
        <v>46086</v>
      </c>
      <c r="E337" t="s">
        <v>34</v>
      </c>
      <c r="F337">
        <v>0</v>
      </c>
      <c r="G337" t="s">
        <v>1190</v>
      </c>
      <c r="H337" t="s">
        <v>1191</v>
      </c>
      <c r="I337">
        <v>162</v>
      </c>
      <c r="J337">
        <v>110</v>
      </c>
      <c r="K337">
        <v>4400000</v>
      </c>
      <c r="L337" t="s">
        <v>28</v>
      </c>
      <c r="M337">
        <v>3995000</v>
      </c>
      <c r="N337">
        <v>0</v>
      </c>
      <c r="O337" t="s">
        <v>103</v>
      </c>
      <c r="P337" t="s">
        <v>108</v>
      </c>
      <c r="Q337" t="s">
        <v>43</v>
      </c>
      <c r="R337" t="s">
        <v>124</v>
      </c>
      <c r="S337" t="s">
        <v>1192</v>
      </c>
      <c r="T337">
        <v>27160.493827160495</v>
      </c>
      <c r="U337">
        <v>40000</v>
      </c>
      <c r="V337">
        <v>24660.493827160495</v>
      </c>
      <c r="W337">
        <v>36318.181818181816</v>
      </c>
      <c r="X337">
        <f ca="1">IF(ISNUMBER(properties[[#This Row],[archivedDate]]),properties[[#This Row],[archivedDate]]-properties[[#This Row],[addedDate]],TODAY()-properties[[#This Row],[addedDate]])</f>
        <v>41</v>
      </c>
      <c r="Y337">
        <f ca="1">IF(ISNUMBER(properties[[#This Row],[archivedDate]]),properties[[#This Row],[archivedDate]]-properties[[#This Row],[addedDate]],TODAY()-properties[[#This Row],[addedDate]])</f>
        <v>41</v>
      </c>
    </row>
    <row r="338" spans="1:25" x14ac:dyDescent="0.25">
      <c r="A338" s="1">
        <v>46049</v>
      </c>
      <c r="B338" t="s">
        <v>1193</v>
      </c>
      <c r="C338" t="s">
        <v>120</v>
      </c>
      <c r="D338" s="1">
        <v>46105</v>
      </c>
      <c r="E338" t="s">
        <v>34</v>
      </c>
      <c r="F338">
        <v>0</v>
      </c>
      <c r="G338" t="s">
        <v>1194</v>
      </c>
      <c r="H338" t="s">
        <v>1195</v>
      </c>
      <c r="I338">
        <v>145</v>
      </c>
      <c r="J338">
        <v>107</v>
      </c>
      <c r="K338">
        <v>4600000</v>
      </c>
      <c r="L338" t="s">
        <v>28</v>
      </c>
      <c r="M338">
        <v>3900000</v>
      </c>
      <c r="N338">
        <v>0</v>
      </c>
      <c r="O338" t="s">
        <v>103</v>
      </c>
      <c r="P338" t="s">
        <v>108</v>
      </c>
      <c r="Q338" t="s">
        <v>43</v>
      </c>
      <c r="R338" t="s">
        <v>124</v>
      </c>
      <c r="S338" t="s">
        <v>1196</v>
      </c>
      <c r="T338">
        <v>31724.137931034482</v>
      </c>
      <c r="U338">
        <v>42990.654205607476</v>
      </c>
      <c r="V338">
        <v>26896.551724137931</v>
      </c>
      <c r="W338">
        <v>36448.598130841121</v>
      </c>
      <c r="X338">
        <f ca="1">IF(ISNUMBER(properties[[#This Row],[archivedDate]]),properties[[#This Row],[archivedDate]]-properties[[#This Row],[addedDate]],TODAY()-properties[[#This Row],[addedDate]])</f>
        <v>56</v>
      </c>
      <c r="Y338">
        <f ca="1">IF(ISNUMBER(properties[[#This Row],[archivedDate]]),properties[[#This Row],[archivedDate]]-properties[[#This Row],[addedDate]],TODAY()-properties[[#This Row],[addedDate]])</f>
        <v>56</v>
      </c>
    </row>
    <row r="339" spans="1:25" x14ac:dyDescent="0.25">
      <c r="A339" s="1">
        <v>46049</v>
      </c>
      <c r="B339" t="s">
        <v>1197</v>
      </c>
      <c r="C339" t="s">
        <v>372</v>
      </c>
      <c r="D339" s="1">
        <v>46107</v>
      </c>
      <c r="E339" t="s">
        <v>34</v>
      </c>
      <c r="F339">
        <v>3</v>
      </c>
      <c r="G339" t="s">
        <v>1198</v>
      </c>
      <c r="H339" t="s">
        <v>1199</v>
      </c>
      <c r="I339">
        <v>88</v>
      </c>
      <c r="J339">
        <v>110</v>
      </c>
      <c r="K339">
        <v>3500000</v>
      </c>
      <c r="L339" t="s">
        <v>28</v>
      </c>
      <c r="M339">
        <v>3695000</v>
      </c>
      <c r="N339">
        <v>0</v>
      </c>
      <c r="O339" t="s">
        <v>103</v>
      </c>
      <c r="P339" t="s">
        <v>30</v>
      </c>
      <c r="Q339" t="s">
        <v>43</v>
      </c>
      <c r="R339" t="s">
        <v>372</v>
      </c>
      <c r="S339" t="s">
        <v>43</v>
      </c>
      <c r="T339">
        <v>39772.727272727272</v>
      </c>
      <c r="U339">
        <v>31818.18181818182</v>
      </c>
      <c r="V339">
        <v>41988.63636363636</v>
      </c>
      <c r="W339">
        <v>33590.909090909088</v>
      </c>
      <c r="X339">
        <f ca="1">IF(ISNUMBER(properties[[#This Row],[archivedDate]]),properties[[#This Row],[archivedDate]]-properties[[#This Row],[addedDate]],TODAY()-properties[[#This Row],[addedDate]])</f>
        <v>58</v>
      </c>
      <c r="Y339">
        <f ca="1">IF(ISNUMBER(properties[[#This Row],[archivedDate]]),properties[[#This Row],[archivedDate]]-properties[[#This Row],[addedDate]],TODAY()-properties[[#This Row],[addedDate]])</f>
        <v>58</v>
      </c>
    </row>
    <row r="340" spans="1:25" x14ac:dyDescent="0.25">
      <c r="A340" s="1">
        <v>46050</v>
      </c>
      <c r="B340" t="s">
        <v>1200</v>
      </c>
      <c r="C340" t="s">
        <v>372</v>
      </c>
      <c r="D340" s="1"/>
      <c r="E340" t="s">
        <v>215</v>
      </c>
      <c r="F340">
        <v>2</v>
      </c>
      <c r="G340" t="s">
        <v>1201</v>
      </c>
      <c r="H340" t="s">
        <v>1202</v>
      </c>
      <c r="I340">
        <v>241</v>
      </c>
      <c r="J340">
        <v>410</v>
      </c>
      <c r="K340">
        <v>6200000</v>
      </c>
      <c r="L340" t="s">
        <v>28</v>
      </c>
      <c r="M340">
        <v>6500000</v>
      </c>
      <c r="N340">
        <v>0</v>
      </c>
      <c r="O340" t="s">
        <v>29</v>
      </c>
      <c r="P340" t="s">
        <v>30</v>
      </c>
      <c r="Q340" t="s">
        <v>43</v>
      </c>
      <c r="R340" t="s">
        <v>372</v>
      </c>
      <c r="S340" t="s">
        <v>43</v>
      </c>
      <c r="T340">
        <v>25726.141078838173</v>
      </c>
      <c r="U340">
        <v>15121.951219512195</v>
      </c>
      <c r="V340">
        <v>26970.954356846472</v>
      </c>
      <c r="W340">
        <v>15853.658536585366</v>
      </c>
      <c r="X340">
        <f ca="1">IF(ISNUMBER(properties[[#This Row],[archivedDate]]),properties[[#This Row],[archivedDate]]-properties[[#This Row],[addedDate]],TODAY()-properties[[#This Row],[addedDate]])</f>
        <v>69</v>
      </c>
      <c r="Y340">
        <f ca="1">IF(ISNUMBER(properties[[#This Row],[archivedDate]]),properties[[#This Row],[archivedDate]]-properties[[#This Row],[addedDate]],TODAY()-properties[[#This Row],[addedDate]])</f>
        <v>69</v>
      </c>
    </row>
    <row r="341" spans="1:25" x14ac:dyDescent="0.25">
      <c r="A341" s="1">
        <v>46051</v>
      </c>
      <c r="B341" t="s">
        <v>1203</v>
      </c>
      <c r="C341" t="s">
        <v>120</v>
      </c>
      <c r="D341" s="1">
        <v>46097</v>
      </c>
      <c r="E341" t="s">
        <v>160</v>
      </c>
      <c r="F341">
        <v>0</v>
      </c>
      <c r="G341" t="s">
        <v>1204</v>
      </c>
      <c r="H341" t="s">
        <v>1205</v>
      </c>
      <c r="I341">
        <v>85</v>
      </c>
      <c r="J341">
        <v>85</v>
      </c>
      <c r="K341">
        <v>0</v>
      </c>
      <c r="L341" t="s">
        <v>28</v>
      </c>
      <c r="M341">
        <v>3295000</v>
      </c>
      <c r="N341">
        <v>0</v>
      </c>
      <c r="O341" t="s">
        <v>103</v>
      </c>
      <c r="P341" t="s">
        <v>123</v>
      </c>
      <c r="Q341" t="s">
        <v>43</v>
      </c>
      <c r="R341" t="s">
        <v>124</v>
      </c>
      <c r="S341" t="s">
        <v>43</v>
      </c>
      <c r="V341">
        <v>38764.705882352944</v>
      </c>
      <c r="W341">
        <v>38764.705882352944</v>
      </c>
      <c r="X341">
        <f ca="1">IF(ISNUMBER(properties[[#This Row],[archivedDate]]),properties[[#This Row],[archivedDate]]-properties[[#This Row],[addedDate]],TODAY()-properties[[#This Row],[addedDate]])</f>
        <v>46</v>
      </c>
      <c r="Y341">
        <f ca="1">IF(ISNUMBER(properties[[#This Row],[archivedDate]]),properties[[#This Row],[archivedDate]]-properties[[#This Row],[addedDate]],TODAY()-properties[[#This Row],[addedDate]])</f>
        <v>46</v>
      </c>
    </row>
    <row r="342" spans="1:25" x14ac:dyDescent="0.25">
      <c r="A342" s="1">
        <v>46051</v>
      </c>
      <c r="B342" t="s">
        <v>1206</v>
      </c>
      <c r="C342" t="s">
        <v>120</v>
      </c>
      <c r="D342" s="1"/>
      <c r="E342" t="s">
        <v>160</v>
      </c>
      <c r="F342">
        <v>0</v>
      </c>
      <c r="G342" t="s">
        <v>1207</v>
      </c>
      <c r="H342" t="s">
        <v>1205</v>
      </c>
      <c r="I342">
        <v>85</v>
      </c>
      <c r="J342">
        <v>85</v>
      </c>
      <c r="K342">
        <v>0</v>
      </c>
      <c r="L342" t="s">
        <v>28</v>
      </c>
      <c r="M342">
        <v>3395000</v>
      </c>
      <c r="N342">
        <v>0</v>
      </c>
      <c r="O342" t="s">
        <v>29</v>
      </c>
      <c r="P342" t="s">
        <v>123</v>
      </c>
      <c r="Q342" t="s">
        <v>43</v>
      </c>
      <c r="R342" t="s">
        <v>124</v>
      </c>
      <c r="S342" t="s">
        <v>43</v>
      </c>
      <c r="V342">
        <v>39941.176470588238</v>
      </c>
      <c r="W342">
        <v>39941.176470588238</v>
      </c>
      <c r="X342">
        <f ca="1">IF(ISNUMBER(properties[[#This Row],[archivedDate]]),properties[[#This Row],[archivedDate]]-properties[[#This Row],[addedDate]],TODAY()-properties[[#This Row],[addedDate]])</f>
        <v>68</v>
      </c>
      <c r="Y342">
        <f ca="1">IF(ISNUMBER(properties[[#This Row],[archivedDate]]),properties[[#This Row],[archivedDate]]-properties[[#This Row],[addedDate]],TODAY()-properties[[#This Row],[addedDate]])</f>
        <v>68</v>
      </c>
    </row>
    <row r="343" spans="1:25" x14ac:dyDescent="0.25">
      <c r="A343" s="1">
        <v>46051</v>
      </c>
      <c r="B343" t="s">
        <v>1208</v>
      </c>
      <c r="C343" t="s">
        <v>372</v>
      </c>
      <c r="D343" s="1"/>
      <c r="E343" t="s">
        <v>34</v>
      </c>
      <c r="F343">
        <v>2</v>
      </c>
      <c r="G343" t="s">
        <v>1209</v>
      </c>
      <c r="H343" t="s">
        <v>1210</v>
      </c>
      <c r="I343">
        <v>260</v>
      </c>
      <c r="J343">
        <v>505</v>
      </c>
      <c r="K343">
        <v>0</v>
      </c>
      <c r="L343" t="s">
        <v>28</v>
      </c>
      <c r="M343">
        <v>5495000</v>
      </c>
      <c r="N343">
        <v>0</v>
      </c>
      <c r="O343" t="s">
        <v>29</v>
      </c>
      <c r="P343" t="s">
        <v>30</v>
      </c>
      <c r="Q343" t="s">
        <v>43</v>
      </c>
      <c r="R343" t="s">
        <v>372</v>
      </c>
      <c r="S343" t="s">
        <v>43</v>
      </c>
      <c r="V343">
        <v>21134.615384615383</v>
      </c>
      <c r="W343">
        <v>10881.18811881188</v>
      </c>
      <c r="X343">
        <f ca="1">IF(ISNUMBER(properties[[#This Row],[archivedDate]]),properties[[#This Row],[archivedDate]]-properties[[#This Row],[addedDate]],TODAY()-properties[[#This Row],[addedDate]])</f>
        <v>68</v>
      </c>
      <c r="Y343">
        <f ca="1">IF(ISNUMBER(properties[[#This Row],[archivedDate]]),properties[[#This Row],[archivedDate]]-properties[[#This Row],[addedDate]],TODAY()-properties[[#This Row],[addedDate]])</f>
        <v>68</v>
      </c>
    </row>
    <row r="344" spans="1:25" x14ac:dyDescent="0.25">
      <c r="A344" s="1">
        <v>46058</v>
      </c>
      <c r="B344" t="s">
        <v>1211</v>
      </c>
      <c r="C344" t="s">
        <v>372</v>
      </c>
      <c r="D344" s="1"/>
      <c r="E344" t="s">
        <v>1212</v>
      </c>
      <c r="F344">
        <v>1</v>
      </c>
      <c r="G344" t="s">
        <v>1213</v>
      </c>
      <c r="H344" t="s">
        <v>1214</v>
      </c>
      <c r="I344">
        <v>543</v>
      </c>
      <c r="J344">
        <v>0</v>
      </c>
      <c r="K344">
        <v>0</v>
      </c>
      <c r="L344" t="s">
        <v>28</v>
      </c>
      <c r="M344">
        <v>6995000</v>
      </c>
      <c r="N344">
        <v>0</v>
      </c>
      <c r="O344" t="s">
        <v>29</v>
      </c>
      <c r="P344" t="s">
        <v>185</v>
      </c>
      <c r="Q344" t="s">
        <v>43</v>
      </c>
      <c r="R344" t="s">
        <v>372</v>
      </c>
      <c r="S344" t="s">
        <v>43</v>
      </c>
      <c r="V344">
        <v>12882.136279926335</v>
      </c>
      <c r="X344">
        <f ca="1">IF(ISNUMBER(properties[[#This Row],[archivedDate]]),properties[[#This Row],[archivedDate]]-properties[[#This Row],[addedDate]],TODAY()-properties[[#This Row],[addedDate]])</f>
        <v>61</v>
      </c>
      <c r="Y344">
        <f ca="1">IF(ISNUMBER(properties[[#This Row],[archivedDate]]),properties[[#This Row],[archivedDate]]-properties[[#This Row],[addedDate]],TODAY()-properties[[#This Row],[addedDate]])</f>
        <v>61</v>
      </c>
    </row>
    <row r="345" spans="1:25" x14ac:dyDescent="0.25">
      <c r="A345" s="1">
        <v>46059</v>
      </c>
      <c r="B345" t="s">
        <v>43</v>
      </c>
      <c r="C345" t="s">
        <v>120</v>
      </c>
      <c r="D345" s="1">
        <v>46098</v>
      </c>
      <c r="E345" t="s">
        <v>95</v>
      </c>
      <c r="F345">
        <v>0</v>
      </c>
      <c r="G345" t="s">
        <v>1215</v>
      </c>
      <c r="H345" t="s">
        <v>1216</v>
      </c>
      <c r="I345">
        <v>24048</v>
      </c>
      <c r="J345">
        <v>8204</v>
      </c>
      <c r="K345">
        <v>0</v>
      </c>
      <c r="L345" t="s">
        <v>28</v>
      </c>
      <c r="M345">
        <v>1000000</v>
      </c>
      <c r="N345">
        <v>0</v>
      </c>
      <c r="O345" t="s">
        <v>103</v>
      </c>
      <c r="P345" t="s">
        <v>194</v>
      </c>
      <c r="Q345" t="s">
        <v>43</v>
      </c>
      <c r="R345" t="s">
        <v>124</v>
      </c>
      <c r="S345" t="s">
        <v>43</v>
      </c>
      <c r="V345">
        <v>41.583499667331999</v>
      </c>
      <c r="W345">
        <v>121.89176011701609</v>
      </c>
      <c r="X345">
        <f ca="1">IF(ISNUMBER(properties[[#This Row],[archivedDate]]),properties[[#This Row],[archivedDate]]-properties[[#This Row],[addedDate]],TODAY()-properties[[#This Row],[addedDate]])</f>
        <v>39</v>
      </c>
      <c r="Y345">
        <f ca="1">IF(ISNUMBER(properties[[#This Row],[archivedDate]]),properties[[#This Row],[archivedDate]]-properties[[#This Row],[addedDate]],TODAY()-properties[[#This Row],[addedDate]])</f>
        <v>39</v>
      </c>
    </row>
    <row r="346" spans="1:25" x14ac:dyDescent="0.25">
      <c r="A346" s="1">
        <v>46062</v>
      </c>
      <c r="B346" t="s">
        <v>1217</v>
      </c>
      <c r="C346" t="s">
        <v>120</v>
      </c>
      <c r="D346" s="1">
        <v>46100</v>
      </c>
      <c r="E346" t="s">
        <v>34</v>
      </c>
      <c r="F346">
        <v>0</v>
      </c>
      <c r="G346" t="s">
        <v>1218</v>
      </c>
      <c r="H346" t="s">
        <v>1219</v>
      </c>
      <c r="I346">
        <v>143</v>
      </c>
      <c r="J346">
        <v>143</v>
      </c>
      <c r="K346">
        <v>4200000</v>
      </c>
      <c r="L346" t="s">
        <v>28</v>
      </c>
      <c r="M346">
        <v>4395000</v>
      </c>
      <c r="N346">
        <v>0</v>
      </c>
      <c r="O346" t="s">
        <v>103</v>
      </c>
      <c r="P346" t="s">
        <v>30</v>
      </c>
      <c r="Q346" t="s">
        <v>43</v>
      </c>
      <c r="R346" t="s">
        <v>124</v>
      </c>
      <c r="S346" t="s">
        <v>272</v>
      </c>
      <c r="T346">
        <v>29370.629370629369</v>
      </c>
      <c r="U346">
        <v>29370.629370629369</v>
      </c>
      <c r="V346">
        <v>30734.265734265733</v>
      </c>
      <c r="W346">
        <v>30734.265734265733</v>
      </c>
      <c r="X346">
        <f ca="1">IF(ISNUMBER(properties[[#This Row],[archivedDate]]),properties[[#This Row],[archivedDate]]-properties[[#This Row],[addedDate]],TODAY()-properties[[#This Row],[addedDate]])</f>
        <v>38</v>
      </c>
      <c r="Y346">
        <f ca="1">IF(ISNUMBER(properties[[#This Row],[archivedDate]]),properties[[#This Row],[archivedDate]]-properties[[#This Row],[addedDate]],TODAY()-properties[[#This Row],[addedDate]])</f>
        <v>38</v>
      </c>
    </row>
    <row r="347" spans="1:25" x14ac:dyDescent="0.25">
      <c r="A347" s="1">
        <v>46064</v>
      </c>
      <c r="B347" t="s">
        <v>43</v>
      </c>
      <c r="C347" t="s">
        <v>120</v>
      </c>
      <c r="D347" s="1"/>
      <c r="E347" t="s">
        <v>316</v>
      </c>
      <c r="F347">
        <v>0</v>
      </c>
      <c r="G347" t="s">
        <v>1220</v>
      </c>
      <c r="H347" t="s">
        <v>1221</v>
      </c>
      <c r="I347">
        <v>100</v>
      </c>
      <c r="J347">
        <v>50</v>
      </c>
      <c r="K347">
        <v>1400000</v>
      </c>
      <c r="L347" t="s">
        <v>28</v>
      </c>
      <c r="M347">
        <v>975000</v>
      </c>
      <c r="N347">
        <v>0</v>
      </c>
      <c r="O347" t="s">
        <v>29</v>
      </c>
      <c r="P347" t="s">
        <v>55</v>
      </c>
      <c r="Q347" t="s">
        <v>43</v>
      </c>
      <c r="R347" t="s">
        <v>124</v>
      </c>
      <c r="S347" t="s">
        <v>43</v>
      </c>
      <c r="T347">
        <v>14000</v>
      </c>
      <c r="U347">
        <v>28000</v>
      </c>
      <c r="V347">
        <v>9750</v>
      </c>
      <c r="W347">
        <v>19500</v>
      </c>
      <c r="X347">
        <f ca="1">IF(ISNUMBER(properties[[#This Row],[archivedDate]]),properties[[#This Row],[archivedDate]]-properties[[#This Row],[addedDate]],TODAY()-properties[[#This Row],[addedDate]])</f>
        <v>55</v>
      </c>
      <c r="Y347">
        <f ca="1">IF(ISNUMBER(properties[[#This Row],[archivedDate]]),properties[[#This Row],[archivedDate]]-properties[[#This Row],[addedDate]],TODAY()-properties[[#This Row],[addedDate]])</f>
        <v>55</v>
      </c>
    </row>
    <row r="348" spans="1:25" x14ac:dyDescent="0.25">
      <c r="A348" s="1">
        <v>46064</v>
      </c>
      <c r="B348" t="s">
        <v>1222</v>
      </c>
      <c r="C348" t="s">
        <v>120</v>
      </c>
      <c r="D348" s="1"/>
      <c r="E348" t="s">
        <v>46</v>
      </c>
      <c r="F348">
        <v>0</v>
      </c>
      <c r="G348" t="s">
        <v>1223</v>
      </c>
      <c r="H348" t="s">
        <v>1224</v>
      </c>
      <c r="I348">
        <v>279</v>
      </c>
      <c r="J348">
        <v>523</v>
      </c>
      <c r="K348">
        <v>5700000</v>
      </c>
      <c r="L348" t="s">
        <v>28</v>
      </c>
      <c r="M348">
        <v>5295000</v>
      </c>
      <c r="N348">
        <v>0</v>
      </c>
      <c r="O348" t="s">
        <v>29</v>
      </c>
      <c r="P348" t="s">
        <v>30</v>
      </c>
      <c r="Q348" t="s">
        <v>43</v>
      </c>
      <c r="R348" t="s">
        <v>124</v>
      </c>
      <c r="S348" t="s">
        <v>43</v>
      </c>
      <c r="T348">
        <v>20430.107526881722</v>
      </c>
      <c r="U348">
        <v>10898.661567877629</v>
      </c>
      <c r="V348">
        <v>18978.494623655915</v>
      </c>
      <c r="W348">
        <v>10124.282982791587</v>
      </c>
      <c r="X348">
        <f ca="1">IF(ISNUMBER(properties[[#This Row],[archivedDate]]),properties[[#This Row],[archivedDate]]-properties[[#This Row],[addedDate]],TODAY()-properties[[#This Row],[addedDate]])</f>
        <v>55</v>
      </c>
      <c r="Y348">
        <f ca="1">IF(ISNUMBER(properties[[#This Row],[archivedDate]]),properties[[#This Row],[archivedDate]]-properties[[#This Row],[addedDate]],TODAY()-properties[[#This Row],[addedDate]])</f>
        <v>55</v>
      </c>
    </row>
    <row r="349" spans="1:25" x14ac:dyDescent="0.25">
      <c r="A349" s="1">
        <v>46064</v>
      </c>
      <c r="B349" t="s">
        <v>1225</v>
      </c>
      <c r="C349" t="s">
        <v>120</v>
      </c>
      <c r="D349" s="1"/>
      <c r="E349" t="s">
        <v>34</v>
      </c>
      <c r="F349">
        <v>0</v>
      </c>
      <c r="G349" t="s">
        <v>1226</v>
      </c>
      <c r="H349" t="s">
        <v>1227</v>
      </c>
      <c r="I349">
        <v>301</v>
      </c>
      <c r="J349">
        <v>401</v>
      </c>
      <c r="K349">
        <v>4700000</v>
      </c>
      <c r="L349" t="s">
        <v>28</v>
      </c>
      <c r="M349">
        <v>4200000</v>
      </c>
      <c r="N349">
        <v>0</v>
      </c>
      <c r="O349" t="s">
        <v>29</v>
      </c>
      <c r="P349" t="s">
        <v>30</v>
      </c>
      <c r="Q349" t="s">
        <v>43</v>
      </c>
      <c r="R349" t="s">
        <v>124</v>
      </c>
      <c r="S349" t="s">
        <v>1228</v>
      </c>
      <c r="T349">
        <v>15614.617940199336</v>
      </c>
      <c r="U349">
        <v>11720.69825436409</v>
      </c>
      <c r="V349">
        <v>13953.488372093023</v>
      </c>
      <c r="W349">
        <v>10473.815461346634</v>
      </c>
      <c r="X349">
        <f ca="1">IF(ISNUMBER(properties[[#This Row],[archivedDate]]),properties[[#This Row],[archivedDate]]-properties[[#This Row],[addedDate]],TODAY()-properties[[#This Row],[addedDate]])</f>
        <v>55</v>
      </c>
      <c r="Y349">
        <f ca="1">IF(ISNUMBER(properties[[#This Row],[archivedDate]]),properties[[#This Row],[archivedDate]]-properties[[#This Row],[addedDate]],TODAY()-properties[[#This Row],[addedDate]])</f>
        <v>55</v>
      </c>
    </row>
    <row r="350" spans="1:25" x14ac:dyDescent="0.25">
      <c r="A350" s="1">
        <v>46064</v>
      </c>
      <c r="B350" t="s">
        <v>1229</v>
      </c>
      <c r="C350" t="s">
        <v>372</v>
      </c>
      <c r="D350" s="1">
        <v>46097</v>
      </c>
      <c r="E350" t="s">
        <v>141</v>
      </c>
      <c r="F350">
        <v>3</v>
      </c>
      <c r="G350" t="s">
        <v>1230</v>
      </c>
      <c r="H350" t="s">
        <v>1231</v>
      </c>
      <c r="I350">
        <v>126</v>
      </c>
      <c r="J350">
        <v>440</v>
      </c>
      <c r="K350">
        <v>2100000</v>
      </c>
      <c r="L350" t="s">
        <v>28</v>
      </c>
      <c r="M350">
        <v>2195000</v>
      </c>
      <c r="N350">
        <v>0</v>
      </c>
      <c r="O350" t="s">
        <v>103</v>
      </c>
      <c r="P350" t="s">
        <v>30</v>
      </c>
      <c r="Q350" t="s">
        <v>43</v>
      </c>
      <c r="R350" t="s">
        <v>372</v>
      </c>
      <c r="S350" t="s">
        <v>43</v>
      </c>
      <c r="T350">
        <v>16666.666666666668</v>
      </c>
      <c r="U350">
        <v>4772.727272727273</v>
      </c>
      <c r="V350">
        <v>17420.634920634922</v>
      </c>
      <c r="W350">
        <v>4988.636363636364</v>
      </c>
      <c r="X350">
        <f ca="1">IF(ISNUMBER(properties[[#This Row],[archivedDate]]),properties[[#This Row],[archivedDate]]-properties[[#This Row],[addedDate]],TODAY()-properties[[#This Row],[addedDate]])</f>
        <v>33</v>
      </c>
      <c r="Y350">
        <f ca="1">IF(ISNUMBER(properties[[#This Row],[archivedDate]]),properties[[#This Row],[archivedDate]]-properties[[#This Row],[addedDate]],TODAY()-properties[[#This Row],[addedDate]])</f>
        <v>33</v>
      </c>
    </row>
    <row r="351" spans="1:25" x14ac:dyDescent="0.25">
      <c r="A351" s="1">
        <v>46071</v>
      </c>
      <c r="B351" t="s">
        <v>1232</v>
      </c>
      <c r="C351" t="s">
        <v>120</v>
      </c>
      <c r="D351" s="1"/>
      <c r="E351" t="s">
        <v>501</v>
      </c>
      <c r="F351">
        <v>0</v>
      </c>
      <c r="G351" t="s">
        <v>1233</v>
      </c>
      <c r="H351" t="s">
        <v>1234</v>
      </c>
      <c r="I351">
        <v>247</v>
      </c>
      <c r="J351">
        <v>716</v>
      </c>
      <c r="K351">
        <v>3150000</v>
      </c>
      <c r="L351" t="s">
        <v>28</v>
      </c>
      <c r="M351">
        <v>2800000</v>
      </c>
      <c r="N351">
        <v>0</v>
      </c>
      <c r="O351" t="s">
        <v>29</v>
      </c>
      <c r="P351" t="s">
        <v>30</v>
      </c>
      <c r="Q351" t="s">
        <v>43</v>
      </c>
      <c r="R351" t="s">
        <v>124</v>
      </c>
      <c r="S351" t="s">
        <v>1235</v>
      </c>
      <c r="T351">
        <v>12753.036437246963</v>
      </c>
      <c r="U351">
        <v>4399.441340782123</v>
      </c>
      <c r="V351">
        <v>11336.032388663967</v>
      </c>
      <c r="W351">
        <v>3910.6145251396647</v>
      </c>
      <c r="X351">
        <f ca="1">IF(ISNUMBER(properties[[#This Row],[archivedDate]]),properties[[#This Row],[archivedDate]]-properties[[#This Row],[addedDate]],TODAY()-properties[[#This Row],[addedDate]])</f>
        <v>48</v>
      </c>
      <c r="Y351">
        <f ca="1">IF(ISNUMBER(properties[[#This Row],[archivedDate]]),properties[[#This Row],[archivedDate]]-properties[[#This Row],[addedDate]],TODAY()-properties[[#This Row],[addedDate]])</f>
        <v>48</v>
      </c>
    </row>
    <row r="352" spans="1:25" x14ac:dyDescent="0.25">
      <c r="A352" s="1">
        <v>46072</v>
      </c>
      <c r="B352" t="s">
        <v>1236</v>
      </c>
      <c r="C352" t="s">
        <v>372</v>
      </c>
      <c r="D352" s="1"/>
      <c r="E352" t="s">
        <v>82</v>
      </c>
      <c r="F352">
        <v>3</v>
      </c>
      <c r="G352" t="s">
        <v>1237</v>
      </c>
      <c r="H352" t="s">
        <v>1238</v>
      </c>
      <c r="I352">
        <v>420</v>
      </c>
      <c r="J352">
        <v>276</v>
      </c>
      <c r="K352">
        <v>0</v>
      </c>
      <c r="L352" t="s">
        <v>28</v>
      </c>
      <c r="M352">
        <v>3495000</v>
      </c>
      <c r="N352">
        <v>0</v>
      </c>
      <c r="O352" t="s">
        <v>29</v>
      </c>
      <c r="P352" t="s">
        <v>30</v>
      </c>
      <c r="Q352" t="s">
        <v>43</v>
      </c>
      <c r="R352" t="s">
        <v>372</v>
      </c>
      <c r="S352" t="s">
        <v>43</v>
      </c>
      <c r="V352">
        <v>8321.4285714285706</v>
      </c>
      <c r="W352">
        <v>12663.04347826087</v>
      </c>
      <c r="X352">
        <f ca="1">IF(ISNUMBER(properties[[#This Row],[archivedDate]]),properties[[#This Row],[archivedDate]]-properties[[#This Row],[addedDate]],TODAY()-properties[[#This Row],[addedDate]])</f>
        <v>47</v>
      </c>
      <c r="Y352">
        <f ca="1">IF(ISNUMBER(properties[[#This Row],[archivedDate]]),properties[[#This Row],[archivedDate]]-properties[[#This Row],[addedDate]],TODAY()-properties[[#This Row],[addedDate]])</f>
        <v>47</v>
      </c>
    </row>
    <row r="353" spans="1:25" x14ac:dyDescent="0.25">
      <c r="A353" s="1">
        <v>46076</v>
      </c>
      <c r="B353" t="s">
        <v>1239</v>
      </c>
      <c r="C353" t="s">
        <v>120</v>
      </c>
      <c r="D353" s="1"/>
      <c r="E353" t="s">
        <v>52</v>
      </c>
      <c r="F353">
        <v>0</v>
      </c>
      <c r="G353" t="s">
        <v>1240</v>
      </c>
      <c r="H353" t="s">
        <v>1241</v>
      </c>
      <c r="I353">
        <v>228</v>
      </c>
      <c r="J353">
        <v>779</v>
      </c>
      <c r="K353">
        <v>0</v>
      </c>
      <c r="L353" t="s">
        <v>28</v>
      </c>
      <c r="M353">
        <v>2400000</v>
      </c>
      <c r="N353">
        <v>0</v>
      </c>
      <c r="O353" t="s">
        <v>29</v>
      </c>
      <c r="P353" t="s">
        <v>30</v>
      </c>
      <c r="Q353" t="s">
        <v>43</v>
      </c>
      <c r="R353" t="s">
        <v>124</v>
      </c>
      <c r="S353" t="s">
        <v>1242</v>
      </c>
      <c r="V353">
        <v>10526.315789473685</v>
      </c>
      <c r="W353">
        <v>3080.872913992298</v>
      </c>
      <c r="X353">
        <f ca="1">IF(ISNUMBER(properties[[#This Row],[archivedDate]]),properties[[#This Row],[archivedDate]]-properties[[#This Row],[addedDate]],TODAY()-properties[[#This Row],[addedDate]])</f>
        <v>43</v>
      </c>
      <c r="Y353">
        <f ca="1">IF(ISNUMBER(properties[[#This Row],[archivedDate]]),properties[[#This Row],[archivedDate]]-properties[[#This Row],[addedDate]],TODAY()-properties[[#This Row],[addedDate]])</f>
        <v>43</v>
      </c>
    </row>
    <row r="354" spans="1:25" x14ac:dyDescent="0.25">
      <c r="A354" s="1">
        <v>46076</v>
      </c>
      <c r="B354" t="s">
        <v>1243</v>
      </c>
      <c r="C354" t="s">
        <v>120</v>
      </c>
      <c r="D354" s="1">
        <v>46080</v>
      </c>
      <c r="E354" t="s">
        <v>1244</v>
      </c>
      <c r="F354">
        <v>0</v>
      </c>
      <c r="G354" t="s">
        <v>1245</v>
      </c>
      <c r="H354" t="s">
        <v>1246</v>
      </c>
      <c r="I354">
        <v>100</v>
      </c>
      <c r="J354">
        <v>276</v>
      </c>
      <c r="K354">
        <v>0</v>
      </c>
      <c r="L354" t="s">
        <v>28</v>
      </c>
      <c r="M354">
        <v>2900000</v>
      </c>
      <c r="N354">
        <v>0</v>
      </c>
      <c r="O354" t="s">
        <v>103</v>
      </c>
      <c r="P354" t="s">
        <v>30</v>
      </c>
      <c r="Q354" t="s">
        <v>43</v>
      </c>
      <c r="R354" t="s">
        <v>124</v>
      </c>
      <c r="S354" t="s">
        <v>43</v>
      </c>
      <c r="V354">
        <v>29000</v>
      </c>
      <c r="W354">
        <v>10507.246376811594</v>
      </c>
      <c r="X354">
        <f ca="1">IF(ISNUMBER(properties[[#This Row],[archivedDate]]),properties[[#This Row],[archivedDate]]-properties[[#This Row],[addedDate]],TODAY()-properties[[#This Row],[addedDate]])</f>
        <v>4</v>
      </c>
      <c r="Y354">
        <f ca="1">IF(ISNUMBER(properties[[#This Row],[archivedDate]]),properties[[#This Row],[archivedDate]]-properties[[#This Row],[addedDate]],TODAY()-properties[[#This Row],[addedDate]])</f>
        <v>4</v>
      </c>
    </row>
    <row r="355" spans="1:25" x14ac:dyDescent="0.25">
      <c r="A355" s="1">
        <v>46079</v>
      </c>
      <c r="B355" t="s">
        <v>1247</v>
      </c>
      <c r="C355" t="s">
        <v>372</v>
      </c>
      <c r="D355" s="1">
        <v>46107</v>
      </c>
      <c r="E355" t="s">
        <v>40</v>
      </c>
      <c r="F355">
        <v>3</v>
      </c>
      <c r="G355" t="s">
        <v>1248</v>
      </c>
      <c r="H355" t="s">
        <v>1249</v>
      </c>
      <c r="I355">
        <v>132</v>
      </c>
      <c r="J355">
        <v>381</v>
      </c>
      <c r="K355">
        <v>1700000</v>
      </c>
      <c r="L355" t="s">
        <v>28</v>
      </c>
      <c r="M355">
        <v>1395000</v>
      </c>
      <c r="N355">
        <v>0</v>
      </c>
      <c r="O355" t="s">
        <v>103</v>
      </c>
      <c r="P355" t="s">
        <v>30</v>
      </c>
      <c r="Q355" t="s">
        <v>43</v>
      </c>
      <c r="R355" t="s">
        <v>372</v>
      </c>
      <c r="S355" t="s">
        <v>43</v>
      </c>
      <c r="T355">
        <v>12878.787878787878</v>
      </c>
      <c r="U355">
        <v>4461.9422572178473</v>
      </c>
      <c r="V355">
        <v>10568.181818181818</v>
      </c>
      <c r="W355">
        <v>3661.4173228346458</v>
      </c>
      <c r="X355">
        <f ca="1">IF(ISNUMBER(properties[[#This Row],[archivedDate]]),properties[[#This Row],[archivedDate]]-properties[[#This Row],[addedDate]],TODAY()-properties[[#This Row],[addedDate]])</f>
        <v>28</v>
      </c>
      <c r="Y355">
        <f ca="1">IF(ISNUMBER(properties[[#This Row],[archivedDate]]),properties[[#This Row],[archivedDate]]-properties[[#This Row],[addedDate]],TODAY()-properties[[#This Row],[addedDate]])</f>
        <v>28</v>
      </c>
    </row>
    <row r="356" spans="1:25" x14ac:dyDescent="0.25">
      <c r="A356" s="1">
        <v>46080</v>
      </c>
      <c r="B356" t="s">
        <v>1250</v>
      </c>
      <c r="C356" t="s">
        <v>372</v>
      </c>
      <c r="D356" s="1"/>
      <c r="E356" t="s">
        <v>316</v>
      </c>
      <c r="F356">
        <v>2</v>
      </c>
      <c r="G356" t="s">
        <v>1251</v>
      </c>
      <c r="H356" t="s">
        <v>1252</v>
      </c>
      <c r="I356">
        <v>191</v>
      </c>
      <c r="J356">
        <v>328</v>
      </c>
      <c r="K356">
        <v>0</v>
      </c>
      <c r="L356" t="s">
        <v>28</v>
      </c>
      <c r="M356">
        <v>3295000</v>
      </c>
      <c r="N356">
        <v>0</v>
      </c>
      <c r="O356" t="s">
        <v>29</v>
      </c>
      <c r="P356" t="s">
        <v>30</v>
      </c>
      <c r="Q356" t="s">
        <v>43</v>
      </c>
      <c r="R356" t="s">
        <v>372</v>
      </c>
      <c r="S356" t="s">
        <v>43</v>
      </c>
      <c r="V356">
        <v>17251.30890052356</v>
      </c>
      <c r="W356">
        <v>10045.731707317073</v>
      </c>
      <c r="X356">
        <f ca="1">IF(ISNUMBER(properties[[#This Row],[archivedDate]]),properties[[#This Row],[archivedDate]]-properties[[#This Row],[addedDate]],TODAY()-properties[[#This Row],[addedDate]])</f>
        <v>39</v>
      </c>
      <c r="Y356">
        <f ca="1">IF(ISNUMBER(properties[[#This Row],[archivedDate]]),properties[[#This Row],[archivedDate]]-properties[[#This Row],[addedDate]],TODAY()-properties[[#This Row],[addedDate]])</f>
        <v>39</v>
      </c>
    </row>
    <row r="357" spans="1:25" x14ac:dyDescent="0.25">
      <c r="A357" s="1">
        <v>46080</v>
      </c>
      <c r="B357" t="s">
        <v>1253</v>
      </c>
      <c r="C357" t="s">
        <v>372</v>
      </c>
      <c r="D357" s="1">
        <v>46107</v>
      </c>
      <c r="E357" t="s">
        <v>229</v>
      </c>
      <c r="F357">
        <v>2</v>
      </c>
      <c r="G357" t="s">
        <v>1254</v>
      </c>
      <c r="H357" t="s">
        <v>1255</v>
      </c>
      <c r="I357">
        <v>256</v>
      </c>
      <c r="J357">
        <v>2588</v>
      </c>
      <c r="K357">
        <v>950000</v>
      </c>
      <c r="L357" t="s">
        <v>28</v>
      </c>
      <c r="M357">
        <v>995000</v>
      </c>
      <c r="N357">
        <v>0</v>
      </c>
      <c r="O357" t="s">
        <v>103</v>
      </c>
      <c r="P357" t="s">
        <v>30</v>
      </c>
      <c r="Q357" t="s">
        <v>43</v>
      </c>
      <c r="R357" t="s">
        <v>372</v>
      </c>
      <c r="S357" t="s">
        <v>43</v>
      </c>
      <c r="T357">
        <v>3710.9375</v>
      </c>
      <c r="U357">
        <v>367.07882534775888</v>
      </c>
      <c r="V357">
        <v>3886.71875</v>
      </c>
      <c r="W357">
        <v>384.46676970633695</v>
      </c>
      <c r="X357">
        <f ca="1">IF(ISNUMBER(properties[[#This Row],[archivedDate]]),properties[[#This Row],[archivedDate]]-properties[[#This Row],[addedDate]],TODAY()-properties[[#This Row],[addedDate]])</f>
        <v>27</v>
      </c>
      <c r="Y357">
        <f ca="1">IF(ISNUMBER(properties[[#This Row],[archivedDate]]),properties[[#This Row],[archivedDate]]-properties[[#This Row],[addedDate]],TODAY()-properties[[#This Row],[addedDate]])</f>
        <v>27</v>
      </c>
    </row>
    <row r="358" spans="1:25" x14ac:dyDescent="0.25">
      <c r="A358" s="1">
        <v>46083</v>
      </c>
      <c r="B358" t="s">
        <v>1243</v>
      </c>
      <c r="C358" t="s">
        <v>120</v>
      </c>
      <c r="D358" s="1"/>
      <c r="E358" t="s">
        <v>25</v>
      </c>
      <c r="F358">
        <v>0</v>
      </c>
      <c r="G358" t="s">
        <v>1256</v>
      </c>
      <c r="H358" t="s">
        <v>1246</v>
      </c>
      <c r="I358">
        <v>100</v>
      </c>
      <c r="J358">
        <v>276</v>
      </c>
      <c r="K358">
        <v>0</v>
      </c>
      <c r="L358" t="s">
        <v>28</v>
      </c>
      <c r="M358">
        <v>2900000</v>
      </c>
      <c r="N358">
        <v>0</v>
      </c>
      <c r="O358" t="s">
        <v>29</v>
      </c>
      <c r="P358" t="s">
        <v>30</v>
      </c>
      <c r="Q358" t="s">
        <v>43</v>
      </c>
      <c r="R358" t="s">
        <v>124</v>
      </c>
      <c r="S358" t="s">
        <v>174</v>
      </c>
      <c r="V358">
        <v>29000</v>
      </c>
      <c r="W358">
        <v>10507.246376811594</v>
      </c>
      <c r="X358">
        <f ca="1">IF(ISNUMBER(properties[[#This Row],[archivedDate]]),properties[[#This Row],[archivedDate]]-properties[[#This Row],[addedDate]],TODAY()-properties[[#This Row],[addedDate]])</f>
        <v>36</v>
      </c>
      <c r="Y358">
        <f ca="1">IF(ISNUMBER(properties[[#This Row],[archivedDate]]),properties[[#This Row],[archivedDate]]-properties[[#This Row],[addedDate]],TODAY()-properties[[#This Row],[addedDate]])</f>
        <v>36</v>
      </c>
    </row>
    <row r="359" spans="1:25" x14ac:dyDescent="0.25">
      <c r="A359" s="1">
        <v>46084</v>
      </c>
      <c r="B359" t="s">
        <v>1257</v>
      </c>
      <c r="C359" t="s">
        <v>120</v>
      </c>
      <c r="D359" s="1"/>
      <c r="E359" t="s">
        <v>346</v>
      </c>
      <c r="F359">
        <v>0</v>
      </c>
      <c r="G359" t="s">
        <v>1258</v>
      </c>
      <c r="H359" t="s">
        <v>1259</v>
      </c>
      <c r="I359">
        <v>109</v>
      </c>
      <c r="J359">
        <v>124</v>
      </c>
      <c r="K359">
        <v>1650000</v>
      </c>
      <c r="L359" t="s">
        <v>28</v>
      </c>
      <c r="M359">
        <v>1650000</v>
      </c>
      <c r="N359">
        <v>0</v>
      </c>
      <c r="O359" t="s">
        <v>29</v>
      </c>
      <c r="P359" t="s">
        <v>30</v>
      </c>
      <c r="Q359" t="s">
        <v>43</v>
      </c>
      <c r="R359" t="s">
        <v>124</v>
      </c>
      <c r="S359" t="s">
        <v>1260</v>
      </c>
      <c r="T359">
        <v>15137.614678899083</v>
      </c>
      <c r="U359">
        <v>13306.451612903225</v>
      </c>
      <c r="V359">
        <v>15137.614678899083</v>
      </c>
      <c r="W359">
        <v>13306.451612903225</v>
      </c>
      <c r="X359">
        <f ca="1">IF(ISNUMBER(properties[[#This Row],[archivedDate]]),properties[[#This Row],[archivedDate]]-properties[[#This Row],[addedDate]],TODAY()-properties[[#This Row],[addedDate]])</f>
        <v>35</v>
      </c>
      <c r="Y359">
        <f ca="1">IF(ISNUMBER(properties[[#This Row],[archivedDate]]),properties[[#This Row],[archivedDate]]-properties[[#This Row],[addedDate]],TODAY()-properties[[#This Row],[addedDate]])</f>
        <v>35</v>
      </c>
    </row>
    <row r="360" spans="1:25" x14ac:dyDescent="0.25">
      <c r="A360" s="1">
        <v>46085</v>
      </c>
      <c r="B360" t="s">
        <v>1261</v>
      </c>
      <c r="C360" t="s">
        <v>372</v>
      </c>
      <c r="D360" s="1"/>
      <c r="E360" t="s">
        <v>95</v>
      </c>
      <c r="F360">
        <v>2</v>
      </c>
      <c r="G360" t="s">
        <v>1262</v>
      </c>
      <c r="H360" t="s">
        <v>1263</v>
      </c>
      <c r="I360">
        <v>204</v>
      </c>
      <c r="J360">
        <v>497</v>
      </c>
      <c r="K360">
        <v>0</v>
      </c>
      <c r="L360" t="s">
        <v>28</v>
      </c>
      <c r="M360">
        <v>1900000</v>
      </c>
      <c r="N360">
        <v>0</v>
      </c>
      <c r="O360" t="s">
        <v>29</v>
      </c>
      <c r="P360" t="s">
        <v>30</v>
      </c>
      <c r="Q360" t="s">
        <v>43</v>
      </c>
      <c r="R360" t="s">
        <v>372</v>
      </c>
      <c r="S360" t="s">
        <v>43</v>
      </c>
      <c r="V360">
        <v>9313.7254901960787</v>
      </c>
      <c r="W360">
        <v>3822.9376257545273</v>
      </c>
      <c r="X360">
        <f ca="1">IF(ISNUMBER(properties[[#This Row],[archivedDate]]),properties[[#This Row],[archivedDate]]-properties[[#This Row],[addedDate]],TODAY()-properties[[#This Row],[addedDate]])</f>
        <v>34</v>
      </c>
      <c r="Y360">
        <f ca="1">IF(ISNUMBER(properties[[#This Row],[archivedDate]]),properties[[#This Row],[archivedDate]]-properties[[#This Row],[addedDate]],TODAY()-properties[[#This Row],[addedDate]])</f>
        <v>34</v>
      </c>
    </row>
    <row r="361" spans="1:25" x14ac:dyDescent="0.25">
      <c r="A361" s="1">
        <v>46086</v>
      </c>
      <c r="B361" t="s">
        <v>1264</v>
      </c>
      <c r="C361" t="s">
        <v>372</v>
      </c>
      <c r="D361" s="1"/>
      <c r="E361" t="s">
        <v>580</v>
      </c>
      <c r="F361">
        <v>2</v>
      </c>
      <c r="G361" t="s">
        <v>1265</v>
      </c>
      <c r="H361" t="s">
        <v>1266</v>
      </c>
      <c r="I361">
        <v>155</v>
      </c>
      <c r="J361">
        <v>638</v>
      </c>
      <c r="K361">
        <v>0</v>
      </c>
      <c r="L361" t="s">
        <v>28</v>
      </c>
      <c r="M361">
        <v>2595000</v>
      </c>
      <c r="N361">
        <v>0</v>
      </c>
      <c r="O361" t="s">
        <v>29</v>
      </c>
      <c r="P361" t="s">
        <v>30</v>
      </c>
      <c r="Q361" t="s">
        <v>43</v>
      </c>
      <c r="R361" t="s">
        <v>372</v>
      </c>
      <c r="S361" t="s">
        <v>43</v>
      </c>
      <c r="V361">
        <v>16741.935483870966</v>
      </c>
      <c r="W361">
        <v>4067.398119122257</v>
      </c>
      <c r="X361">
        <f ca="1">IF(ISNUMBER(properties[[#This Row],[archivedDate]]),properties[[#This Row],[archivedDate]]-properties[[#This Row],[addedDate]],TODAY()-properties[[#This Row],[addedDate]])</f>
        <v>33</v>
      </c>
      <c r="Y361">
        <f ca="1">IF(ISNUMBER(properties[[#This Row],[archivedDate]]),properties[[#This Row],[archivedDate]]-properties[[#This Row],[addedDate]],TODAY()-properties[[#This Row],[addedDate]])</f>
        <v>33</v>
      </c>
    </row>
    <row r="362" spans="1:25" x14ac:dyDescent="0.25">
      <c r="A362" s="1">
        <v>46087</v>
      </c>
      <c r="B362" t="s">
        <v>1267</v>
      </c>
      <c r="C362" t="s">
        <v>120</v>
      </c>
      <c r="D362" s="1"/>
      <c r="E362" t="s">
        <v>215</v>
      </c>
      <c r="F362">
        <v>0</v>
      </c>
      <c r="G362" t="s">
        <v>1268</v>
      </c>
      <c r="H362" t="s">
        <v>1269</v>
      </c>
      <c r="I362">
        <v>296</v>
      </c>
      <c r="J362">
        <v>540</v>
      </c>
      <c r="K362">
        <v>7100000</v>
      </c>
      <c r="L362" t="s">
        <v>28</v>
      </c>
      <c r="M362">
        <v>7395000</v>
      </c>
      <c r="N362">
        <v>0</v>
      </c>
      <c r="O362" t="s">
        <v>29</v>
      </c>
      <c r="P362" t="s">
        <v>30</v>
      </c>
      <c r="Q362" t="s">
        <v>43</v>
      </c>
      <c r="R362" t="s">
        <v>124</v>
      </c>
      <c r="S362" t="s">
        <v>1270</v>
      </c>
      <c r="T362">
        <v>23986.486486486487</v>
      </c>
      <c r="U362">
        <v>13148.148148148148</v>
      </c>
      <c r="V362">
        <v>24983.108108108107</v>
      </c>
      <c r="W362">
        <v>13694.444444444445</v>
      </c>
      <c r="X362">
        <f ca="1">IF(ISNUMBER(properties[[#This Row],[archivedDate]]),properties[[#This Row],[archivedDate]]-properties[[#This Row],[addedDate]],TODAY()-properties[[#This Row],[addedDate]])</f>
        <v>32</v>
      </c>
      <c r="Y362">
        <f ca="1">IF(ISNUMBER(properties[[#This Row],[archivedDate]]),properties[[#This Row],[archivedDate]]-properties[[#This Row],[addedDate]],TODAY()-properties[[#This Row],[addedDate]])</f>
        <v>32</v>
      </c>
    </row>
    <row r="363" spans="1:25" x14ac:dyDescent="0.25">
      <c r="A363" s="1">
        <v>46090</v>
      </c>
      <c r="B363" t="s">
        <v>1271</v>
      </c>
      <c r="C363" t="s">
        <v>120</v>
      </c>
      <c r="D363" s="1"/>
      <c r="E363" t="s">
        <v>34</v>
      </c>
      <c r="F363">
        <v>0</v>
      </c>
      <c r="G363" t="s">
        <v>1272</v>
      </c>
      <c r="H363" t="s">
        <v>1273</v>
      </c>
      <c r="I363">
        <v>169</v>
      </c>
      <c r="J363">
        <v>145</v>
      </c>
      <c r="K363">
        <v>5950000</v>
      </c>
      <c r="L363" t="s">
        <v>28</v>
      </c>
      <c r="M363">
        <v>5950000</v>
      </c>
      <c r="N363">
        <v>0</v>
      </c>
      <c r="O363" t="s">
        <v>29</v>
      </c>
      <c r="P363" t="s">
        <v>30</v>
      </c>
      <c r="Q363" t="s">
        <v>43</v>
      </c>
      <c r="R363" t="s">
        <v>124</v>
      </c>
      <c r="S363" t="s">
        <v>43</v>
      </c>
      <c r="T363">
        <v>35207.100591715978</v>
      </c>
      <c r="U363">
        <v>41034.482758620688</v>
      </c>
      <c r="V363">
        <v>35207.100591715978</v>
      </c>
      <c r="W363">
        <v>41034.482758620688</v>
      </c>
      <c r="X363">
        <f ca="1">IF(ISNUMBER(properties[[#This Row],[archivedDate]]),properties[[#This Row],[archivedDate]]-properties[[#This Row],[addedDate]],TODAY()-properties[[#This Row],[addedDate]])</f>
        <v>29</v>
      </c>
      <c r="Y363">
        <f ca="1">IF(ISNUMBER(properties[[#This Row],[archivedDate]]),properties[[#This Row],[archivedDate]]-properties[[#This Row],[addedDate]],TODAY()-properties[[#This Row],[addedDate]])</f>
        <v>29</v>
      </c>
    </row>
    <row r="364" spans="1:25" x14ac:dyDescent="0.25">
      <c r="A364" s="1">
        <v>46092</v>
      </c>
      <c r="B364" t="s">
        <v>1274</v>
      </c>
      <c r="C364" t="s">
        <v>372</v>
      </c>
      <c r="D364" s="1"/>
      <c r="E364" t="s">
        <v>316</v>
      </c>
      <c r="F364">
        <v>2</v>
      </c>
      <c r="G364" t="s">
        <v>1275</v>
      </c>
      <c r="H364" t="s">
        <v>1276</v>
      </c>
      <c r="I364">
        <v>2250</v>
      </c>
      <c r="J364">
        <v>2938</v>
      </c>
      <c r="K364">
        <v>0</v>
      </c>
      <c r="L364" t="s">
        <v>28</v>
      </c>
      <c r="M364">
        <v>20000000</v>
      </c>
      <c r="N364">
        <v>0</v>
      </c>
      <c r="O364" t="s">
        <v>29</v>
      </c>
      <c r="P364" t="s">
        <v>185</v>
      </c>
      <c r="Q364" t="s">
        <v>43</v>
      </c>
      <c r="R364" t="s">
        <v>372</v>
      </c>
      <c r="S364" t="s">
        <v>43</v>
      </c>
      <c r="V364">
        <v>8888.8888888888887</v>
      </c>
      <c r="W364">
        <v>6807.3519400953028</v>
      </c>
      <c r="X364">
        <f ca="1">IF(ISNUMBER(properties[[#This Row],[archivedDate]]),properties[[#This Row],[archivedDate]]-properties[[#This Row],[addedDate]],TODAY()-properties[[#This Row],[addedDate]])</f>
        <v>27</v>
      </c>
      <c r="Y364">
        <f ca="1">IF(ISNUMBER(properties[[#This Row],[archivedDate]]),properties[[#This Row],[archivedDate]]-properties[[#This Row],[addedDate]],TODAY()-properties[[#This Row],[addedDate]])</f>
        <v>27</v>
      </c>
    </row>
    <row r="365" spans="1:25" x14ac:dyDescent="0.25">
      <c r="A365" s="1">
        <v>46093</v>
      </c>
      <c r="B365" t="s">
        <v>1277</v>
      </c>
      <c r="C365" t="s">
        <v>120</v>
      </c>
      <c r="D365" s="1"/>
      <c r="E365" t="s">
        <v>34</v>
      </c>
      <c r="F365">
        <v>0</v>
      </c>
      <c r="G365" t="s">
        <v>1278</v>
      </c>
      <c r="H365" t="s">
        <v>1279</v>
      </c>
      <c r="I365">
        <v>170</v>
      </c>
      <c r="J365">
        <v>128</v>
      </c>
      <c r="K365">
        <v>3800000</v>
      </c>
      <c r="L365" t="s">
        <v>28</v>
      </c>
      <c r="M365">
        <v>3400000</v>
      </c>
      <c r="N365">
        <v>0</v>
      </c>
      <c r="O365" t="s">
        <v>29</v>
      </c>
      <c r="P365" t="s">
        <v>108</v>
      </c>
      <c r="Q365" t="s">
        <v>43</v>
      </c>
      <c r="R365" t="s">
        <v>124</v>
      </c>
      <c r="S365" t="s">
        <v>1280</v>
      </c>
      <c r="T365">
        <v>22352.941176470587</v>
      </c>
      <c r="U365">
        <v>29687.5</v>
      </c>
      <c r="V365">
        <v>20000</v>
      </c>
      <c r="W365">
        <v>26562.5</v>
      </c>
      <c r="X365">
        <f ca="1">IF(ISNUMBER(properties[[#This Row],[archivedDate]]),properties[[#This Row],[archivedDate]]-properties[[#This Row],[addedDate]],TODAY()-properties[[#This Row],[addedDate]])</f>
        <v>26</v>
      </c>
      <c r="Y365">
        <f ca="1">IF(ISNUMBER(properties[[#This Row],[archivedDate]]),properties[[#This Row],[archivedDate]]-properties[[#This Row],[addedDate]],TODAY()-properties[[#This Row],[addedDate]])</f>
        <v>26</v>
      </c>
    </row>
    <row r="366" spans="1:25" x14ac:dyDescent="0.25">
      <c r="A366" s="1">
        <v>46093</v>
      </c>
      <c r="B366" t="s">
        <v>1281</v>
      </c>
      <c r="C366" t="s">
        <v>120</v>
      </c>
      <c r="D366" s="1"/>
      <c r="E366" t="s">
        <v>34</v>
      </c>
      <c r="F366">
        <v>0</v>
      </c>
      <c r="G366" t="s">
        <v>1282</v>
      </c>
      <c r="H366" t="s">
        <v>1283</v>
      </c>
      <c r="I366">
        <v>64</v>
      </c>
      <c r="J366">
        <v>64</v>
      </c>
      <c r="K366">
        <v>3500000</v>
      </c>
      <c r="L366" t="s">
        <v>28</v>
      </c>
      <c r="M366">
        <v>3495000</v>
      </c>
      <c r="N366">
        <v>0</v>
      </c>
      <c r="O366" t="s">
        <v>29</v>
      </c>
      <c r="P366" t="s">
        <v>123</v>
      </c>
      <c r="Q366" t="s">
        <v>43</v>
      </c>
      <c r="R366" t="s">
        <v>124</v>
      </c>
      <c r="S366" t="s">
        <v>1284</v>
      </c>
      <c r="T366">
        <v>54687.5</v>
      </c>
      <c r="U366">
        <v>54687.5</v>
      </c>
      <c r="V366">
        <v>54609.375</v>
      </c>
      <c r="W366">
        <v>54609.375</v>
      </c>
      <c r="X366">
        <f ca="1">IF(ISNUMBER(properties[[#This Row],[archivedDate]]),properties[[#This Row],[archivedDate]]-properties[[#This Row],[addedDate]],TODAY()-properties[[#This Row],[addedDate]])</f>
        <v>26</v>
      </c>
      <c r="Y366">
        <f ca="1">IF(ISNUMBER(properties[[#This Row],[archivedDate]]),properties[[#This Row],[archivedDate]]-properties[[#This Row],[addedDate]],TODAY()-properties[[#This Row],[addedDate]])</f>
        <v>26</v>
      </c>
    </row>
    <row r="367" spans="1:25" x14ac:dyDescent="0.25">
      <c r="A367" s="1">
        <v>46093</v>
      </c>
      <c r="B367" t="s">
        <v>1285</v>
      </c>
      <c r="C367" t="s">
        <v>372</v>
      </c>
      <c r="D367" s="1">
        <v>46107</v>
      </c>
      <c r="E367" t="s">
        <v>346</v>
      </c>
      <c r="F367">
        <v>3</v>
      </c>
      <c r="G367" t="s">
        <v>1286</v>
      </c>
      <c r="H367" t="s">
        <v>1287</v>
      </c>
      <c r="I367">
        <v>162</v>
      </c>
      <c r="J367">
        <v>7293</v>
      </c>
      <c r="K367">
        <v>2300000</v>
      </c>
      <c r="L367" t="s">
        <v>28</v>
      </c>
      <c r="M367">
        <v>2195000</v>
      </c>
      <c r="N367">
        <v>0</v>
      </c>
      <c r="O367" t="s">
        <v>103</v>
      </c>
      <c r="P367" t="s">
        <v>30</v>
      </c>
      <c r="Q367" t="s">
        <v>43</v>
      </c>
      <c r="R367" t="s">
        <v>372</v>
      </c>
      <c r="S367" t="s">
        <v>43</v>
      </c>
      <c r="T367">
        <v>14197.530864197532</v>
      </c>
      <c r="U367">
        <v>315.37090360619771</v>
      </c>
      <c r="V367">
        <v>13549.382716049382</v>
      </c>
      <c r="W367">
        <v>300.97353626765391</v>
      </c>
      <c r="X367">
        <f ca="1">IF(ISNUMBER(properties[[#This Row],[archivedDate]]),properties[[#This Row],[archivedDate]]-properties[[#This Row],[addedDate]],TODAY()-properties[[#This Row],[addedDate]])</f>
        <v>14</v>
      </c>
      <c r="Y367">
        <f ca="1">IF(ISNUMBER(properties[[#This Row],[archivedDate]]),properties[[#This Row],[archivedDate]]-properties[[#This Row],[addedDate]],TODAY()-properties[[#This Row],[addedDate]])</f>
        <v>14</v>
      </c>
    </row>
    <row r="368" spans="1:25" x14ac:dyDescent="0.25">
      <c r="A368" s="1">
        <v>46094</v>
      </c>
      <c r="B368" t="s">
        <v>1288</v>
      </c>
      <c r="C368" t="s">
        <v>372</v>
      </c>
      <c r="D368" s="1"/>
      <c r="E368" t="s">
        <v>52</v>
      </c>
      <c r="F368">
        <v>2</v>
      </c>
      <c r="G368" t="s">
        <v>1289</v>
      </c>
      <c r="H368" t="s">
        <v>1290</v>
      </c>
      <c r="I368">
        <v>254</v>
      </c>
      <c r="J368">
        <v>771</v>
      </c>
      <c r="K368">
        <v>0</v>
      </c>
      <c r="L368" t="s">
        <v>28</v>
      </c>
      <c r="M368">
        <v>2200000</v>
      </c>
      <c r="N368">
        <v>0</v>
      </c>
      <c r="O368" t="s">
        <v>29</v>
      </c>
      <c r="P368" t="s">
        <v>30</v>
      </c>
      <c r="Q368" t="s">
        <v>43</v>
      </c>
      <c r="R368" t="s">
        <v>372</v>
      </c>
      <c r="S368" t="s">
        <v>43</v>
      </c>
      <c r="V368">
        <v>8661.4173228346463</v>
      </c>
      <c r="W368">
        <v>2853.437094682231</v>
      </c>
      <c r="X368">
        <f ca="1">IF(ISNUMBER(properties[[#This Row],[archivedDate]]),properties[[#This Row],[archivedDate]]-properties[[#This Row],[addedDate]],TODAY()-properties[[#This Row],[addedDate]])</f>
        <v>25</v>
      </c>
      <c r="Y368">
        <f ca="1">IF(ISNUMBER(properties[[#This Row],[archivedDate]]),properties[[#This Row],[archivedDate]]-properties[[#This Row],[addedDate]],TODAY()-properties[[#This Row],[addedDate]])</f>
        <v>25</v>
      </c>
    </row>
    <row r="369" spans="1:25" x14ac:dyDescent="0.25">
      <c r="A369" s="1">
        <v>46098</v>
      </c>
      <c r="B369" t="s">
        <v>1291</v>
      </c>
      <c r="C369" t="s">
        <v>120</v>
      </c>
      <c r="D369" s="1"/>
      <c r="E369" t="s">
        <v>34</v>
      </c>
      <c r="F369">
        <v>0</v>
      </c>
      <c r="G369" t="s">
        <v>1292</v>
      </c>
      <c r="H369" t="s">
        <v>1293</v>
      </c>
      <c r="I369">
        <v>46</v>
      </c>
      <c r="J369">
        <v>46</v>
      </c>
      <c r="K369">
        <v>2300000</v>
      </c>
      <c r="L369" t="s">
        <v>28</v>
      </c>
      <c r="M369">
        <v>1975000</v>
      </c>
      <c r="N369">
        <v>0</v>
      </c>
      <c r="O369" t="s">
        <v>29</v>
      </c>
      <c r="P369" t="s">
        <v>123</v>
      </c>
      <c r="Q369" t="s">
        <v>43</v>
      </c>
      <c r="R369" t="s">
        <v>124</v>
      </c>
      <c r="S369" t="s">
        <v>1294</v>
      </c>
      <c r="T369">
        <v>50000</v>
      </c>
      <c r="U369">
        <v>50000</v>
      </c>
      <c r="V369">
        <v>42934.782608695656</v>
      </c>
      <c r="W369">
        <v>42934.782608695656</v>
      </c>
      <c r="X369">
        <f ca="1">IF(ISNUMBER(properties[[#This Row],[archivedDate]]),properties[[#This Row],[archivedDate]]-properties[[#This Row],[addedDate]],TODAY()-properties[[#This Row],[addedDate]])</f>
        <v>21</v>
      </c>
      <c r="Y369">
        <f ca="1">IF(ISNUMBER(properties[[#This Row],[archivedDate]]),properties[[#This Row],[archivedDate]]-properties[[#This Row],[addedDate]],TODAY()-properties[[#This Row],[addedDate]])</f>
        <v>21</v>
      </c>
    </row>
    <row r="370" spans="1:25" x14ac:dyDescent="0.25">
      <c r="A370" s="1">
        <v>46098</v>
      </c>
      <c r="B370" t="s">
        <v>1295</v>
      </c>
      <c r="C370" t="s">
        <v>120</v>
      </c>
      <c r="D370" s="1"/>
      <c r="E370" t="s">
        <v>141</v>
      </c>
      <c r="F370">
        <v>0</v>
      </c>
      <c r="G370" t="s">
        <v>1296</v>
      </c>
      <c r="H370" t="s">
        <v>1297</v>
      </c>
      <c r="I370">
        <v>796</v>
      </c>
      <c r="J370">
        <v>796</v>
      </c>
      <c r="K370">
        <v>300000</v>
      </c>
      <c r="L370" t="s">
        <v>28</v>
      </c>
      <c r="M370">
        <v>200000</v>
      </c>
      <c r="N370">
        <v>0</v>
      </c>
      <c r="O370" t="s">
        <v>29</v>
      </c>
      <c r="P370" t="s">
        <v>98</v>
      </c>
      <c r="Q370" t="s">
        <v>43</v>
      </c>
      <c r="R370" t="s">
        <v>124</v>
      </c>
      <c r="S370" t="s">
        <v>43</v>
      </c>
      <c r="T370">
        <v>376.88442211055275</v>
      </c>
      <c r="U370">
        <v>376.88442211055275</v>
      </c>
      <c r="V370">
        <v>251.25628140703517</v>
      </c>
      <c r="W370">
        <v>251.25628140703517</v>
      </c>
      <c r="X370">
        <f ca="1">IF(ISNUMBER(properties[[#This Row],[archivedDate]]),properties[[#This Row],[archivedDate]]-properties[[#This Row],[addedDate]],TODAY()-properties[[#This Row],[addedDate]])</f>
        <v>21</v>
      </c>
      <c r="Y370">
        <f ca="1">IF(ISNUMBER(properties[[#This Row],[archivedDate]]),properties[[#This Row],[archivedDate]]-properties[[#This Row],[addedDate]],TODAY()-properties[[#This Row],[addedDate]])</f>
        <v>21</v>
      </c>
    </row>
    <row r="371" spans="1:25" x14ac:dyDescent="0.25">
      <c r="A371" s="1">
        <v>46099</v>
      </c>
      <c r="B371" t="s">
        <v>1298</v>
      </c>
      <c r="C371" t="s">
        <v>120</v>
      </c>
      <c r="D371" s="1"/>
      <c r="E371" t="s">
        <v>95</v>
      </c>
      <c r="F371">
        <v>0</v>
      </c>
      <c r="G371" t="s">
        <v>1299</v>
      </c>
      <c r="H371" t="s">
        <v>1300</v>
      </c>
      <c r="I371">
        <v>24048</v>
      </c>
      <c r="J371">
        <v>902</v>
      </c>
      <c r="K371">
        <v>0</v>
      </c>
      <c r="L371" t="s">
        <v>28</v>
      </c>
      <c r="M371">
        <v>1000000</v>
      </c>
      <c r="N371">
        <v>0</v>
      </c>
      <c r="O371" t="s">
        <v>29</v>
      </c>
      <c r="P371" t="s">
        <v>194</v>
      </c>
      <c r="Q371" t="s">
        <v>43</v>
      </c>
      <c r="R371" t="s">
        <v>124</v>
      </c>
      <c r="S371" t="s">
        <v>43</v>
      </c>
      <c r="V371">
        <v>41.583499667331999</v>
      </c>
      <c r="W371">
        <v>1108.6474501108648</v>
      </c>
      <c r="X371">
        <f ca="1">IF(ISNUMBER(properties[[#This Row],[archivedDate]]),properties[[#This Row],[archivedDate]]-properties[[#This Row],[addedDate]],TODAY()-properties[[#This Row],[addedDate]])</f>
        <v>20</v>
      </c>
      <c r="Y371">
        <f ca="1">IF(ISNUMBER(properties[[#This Row],[archivedDate]]),properties[[#This Row],[archivedDate]]-properties[[#This Row],[addedDate]],TODAY()-properties[[#This Row],[addedDate]])</f>
        <v>20</v>
      </c>
    </row>
    <row r="372" spans="1:25" x14ac:dyDescent="0.25">
      <c r="A372" s="1">
        <v>46099</v>
      </c>
      <c r="B372" t="s">
        <v>1301</v>
      </c>
      <c r="C372" t="s">
        <v>120</v>
      </c>
      <c r="D372" s="1"/>
      <c r="E372" t="s">
        <v>95</v>
      </c>
      <c r="F372">
        <v>0</v>
      </c>
      <c r="G372" t="s">
        <v>1302</v>
      </c>
      <c r="H372" t="s">
        <v>1216</v>
      </c>
      <c r="I372">
        <v>8204</v>
      </c>
      <c r="J372">
        <v>8204</v>
      </c>
      <c r="K372">
        <v>0</v>
      </c>
      <c r="L372" t="s">
        <v>28</v>
      </c>
      <c r="M372">
        <v>400000</v>
      </c>
      <c r="N372">
        <v>0</v>
      </c>
      <c r="O372" t="s">
        <v>29</v>
      </c>
      <c r="P372" t="s">
        <v>194</v>
      </c>
      <c r="Q372" t="s">
        <v>43</v>
      </c>
      <c r="R372" t="s">
        <v>124</v>
      </c>
      <c r="S372" t="s">
        <v>43</v>
      </c>
      <c r="V372">
        <v>48.756704046806433</v>
      </c>
      <c r="W372">
        <v>48.756704046806433</v>
      </c>
      <c r="X372">
        <f ca="1">IF(ISNUMBER(properties[[#This Row],[archivedDate]]),properties[[#This Row],[archivedDate]]-properties[[#This Row],[addedDate]],TODAY()-properties[[#This Row],[addedDate]])</f>
        <v>20</v>
      </c>
      <c r="Y372">
        <f ca="1">IF(ISNUMBER(properties[[#This Row],[archivedDate]]),properties[[#This Row],[archivedDate]]-properties[[#This Row],[addedDate]],TODAY()-properties[[#This Row],[addedDate]])</f>
        <v>20</v>
      </c>
    </row>
    <row r="373" spans="1:25" x14ac:dyDescent="0.25">
      <c r="A373" s="1">
        <v>46100</v>
      </c>
      <c r="B373" t="s">
        <v>1303</v>
      </c>
      <c r="C373" t="s">
        <v>120</v>
      </c>
      <c r="D373" s="1"/>
      <c r="E373" t="s">
        <v>34</v>
      </c>
      <c r="F373">
        <v>0</v>
      </c>
      <c r="G373" t="s">
        <v>1304</v>
      </c>
      <c r="H373" t="s">
        <v>1305</v>
      </c>
      <c r="I373">
        <v>499</v>
      </c>
      <c r="J373">
        <v>499</v>
      </c>
      <c r="K373">
        <v>0</v>
      </c>
      <c r="L373" t="s">
        <v>28</v>
      </c>
      <c r="M373">
        <v>2900000</v>
      </c>
      <c r="N373">
        <v>0</v>
      </c>
      <c r="O373" t="s">
        <v>29</v>
      </c>
      <c r="P373" t="s">
        <v>98</v>
      </c>
      <c r="Q373" t="s">
        <v>43</v>
      </c>
      <c r="R373" t="s">
        <v>124</v>
      </c>
      <c r="S373" t="s">
        <v>43</v>
      </c>
      <c r="V373">
        <v>5811.6232464929863</v>
      </c>
      <c r="W373">
        <v>5811.6232464929863</v>
      </c>
      <c r="X373">
        <f ca="1">IF(ISNUMBER(properties[[#This Row],[archivedDate]]),properties[[#This Row],[archivedDate]]-properties[[#This Row],[addedDate]],TODAY()-properties[[#This Row],[addedDate]])</f>
        <v>19</v>
      </c>
      <c r="Y373">
        <f ca="1">IF(ISNUMBER(properties[[#This Row],[archivedDate]]),properties[[#This Row],[archivedDate]]-properties[[#This Row],[addedDate]],TODAY()-properties[[#This Row],[addedDate]])</f>
        <v>19</v>
      </c>
    </row>
    <row r="374" spans="1:25" x14ac:dyDescent="0.25">
      <c r="A374" s="1">
        <v>46100</v>
      </c>
      <c r="B374" t="s">
        <v>1306</v>
      </c>
      <c r="C374" t="s">
        <v>120</v>
      </c>
      <c r="D374" s="1"/>
      <c r="E374" t="s">
        <v>200</v>
      </c>
      <c r="F374">
        <v>0</v>
      </c>
      <c r="G374" t="s">
        <v>1307</v>
      </c>
      <c r="H374" t="s">
        <v>1308</v>
      </c>
      <c r="I374">
        <v>97</v>
      </c>
      <c r="J374">
        <v>542</v>
      </c>
      <c r="K374">
        <v>1850000</v>
      </c>
      <c r="L374" t="s">
        <v>28</v>
      </c>
      <c r="M374">
        <v>1850000</v>
      </c>
      <c r="N374">
        <v>0</v>
      </c>
      <c r="O374" t="s">
        <v>29</v>
      </c>
      <c r="P374" t="s">
        <v>123</v>
      </c>
      <c r="Q374" t="s">
        <v>43</v>
      </c>
      <c r="R374" t="s">
        <v>124</v>
      </c>
      <c r="S374" t="s">
        <v>43</v>
      </c>
      <c r="T374">
        <v>19072.164948453606</v>
      </c>
      <c r="U374">
        <v>3413.2841328413283</v>
      </c>
      <c r="V374">
        <v>19072.164948453606</v>
      </c>
      <c r="W374">
        <v>3413.2841328413283</v>
      </c>
      <c r="X374">
        <f ca="1">IF(ISNUMBER(properties[[#This Row],[archivedDate]]),properties[[#This Row],[archivedDate]]-properties[[#This Row],[addedDate]],TODAY()-properties[[#This Row],[addedDate]])</f>
        <v>19</v>
      </c>
      <c r="Y374">
        <f ca="1">IF(ISNUMBER(properties[[#This Row],[archivedDate]]),properties[[#This Row],[archivedDate]]-properties[[#This Row],[addedDate]],TODAY()-properties[[#This Row],[addedDate]])</f>
        <v>19</v>
      </c>
    </row>
    <row r="375" spans="1:25" x14ac:dyDescent="0.25">
      <c r="A375" s="1">
        <v>46106</v>
      </c>
      <c r="B375" t="s">
        <v>1309</v>
      </c>
      <c r="C375" t="s">
        <v>120</v>
      </c>
      <c r="D375" s="1"/>
      <c r="E375" t="s">
        <v>34</v>
      </c>
      <c r="F375">
        <v>0</v>
      </c>
      <c r="G375" t="s">
        <v>1310</v>
      </c>
      <c r="H375" t="s">
        <v>1311</v>
      </c>
      <c r="I375">
        <v>197</v>
      </c>
      <c r="J375">
        <v>353</v>
      </c>
      <c r="K375">
        <v>0</v>
      </c>
      <c r="L375" t="s">
        <v>28</v>
      </c>
      <c r="M375">
        <v>5795000</v>
      </c>
      <c r="N375">
        <v>0</v>
      </c>
      <c r="O375" t="s">
        <v>29</v>
      </c>
      <c r="P375" t="s">
        <v>30</v>
      </c>
      <c r="Q375" t="s">
        <v>43</v>
      </c>
      <c r="R375" t="s">
        <v>124</v>
      </c>
      <c r="S375" t="s">
        <v>43</v>
      </c>
      <c r="V375">
        <v>29416.243654822334</v>
      </c>
      <c r="W375">
        <v>16416.430594900849</v>
      </c>
      <c r="X375">
        <f ca="1">IF(ISNUMBER(properties[[#This Row],[archivedDate]]),properties[[#This Row],[archivedDate]]-properties[[#This Row],[addedDate]],TODAY()-properties[[#This Row],[addedDate]])</f>
        <v>13</v>
      </c>
      <c r="Y375">
        <f ca="1">IF(ISNUMBER(properties[[#This Row],[archivedDate]]),properties[[#This Row],[archivedDate]]-properties[[#This Row],[addedDate]],TODAY()-properties[[#This Row],[addedDate]])</f>
        <v>13</v>
      </c>
    </row>
    <row r="376" spans="1:25" x14ac:dyDescent="0.25">
      <c r="A376" s="1">
        <v>46106</v>
      </c>
      <c r="B376" t="s">
        <v>1312</v>
      </c>
      <c r="C376" t="s">
        <v>120</v>
      </c>
      <c r="D376" s="1"/>
      <c r="E376" t="s">
        <v>215</v>
      </c>
      <c r="F376">
        <v>0</v>
      </c>
      <c r="G376" t="s">
        <v>1313</v>
      </c>
      <c r="H376" t="s">
        <v>1314</v>
      </c>
      <c r="I376">
        <v>95</v>
      </c>
      <c r="J376">
        <v>95</v>
      </c>
      <c r="K376">
        <v>3595000</v>
      </c>
      <c r="L376" t="s">
        <v>28</v>
      </c>
      <c r="M376">
        <v>3595000</v>
      </c>
      <c r="N376">
        <v>0</v>
      </c>
      <c r="O376" t="s">
        <v>29</v>
      </c>
      <c r="P376" t="s">
        <v>123</v>
      </c>
      <c r="Q376" t="s">
        <v>43</v>
      </c>
      <c r="R376" t="s">
        <v>124</v>
      </c>
      <c r="S376" t="s">
        <v>1315</v>
      </c>
      <c r="T376">
        <v>37842.105263157893</v>
      </c>
      <c r="U376">
        <v>37842.105263157893</v>
      </c>
      <c r="V376">
        <v>37842.105263157893</v>
      </c>
      <c r="W376">
        <v>37842.105263157893</v>
      </c>
      <c r="X376">
        <f ca="1">IF(ISNUMBER(properties[[#This Row],[archivedDate]]),properties[[#This Row],[archivedDate]]-properties[[#This Row],[addedDate]],TODAY()-properties[[#This Row],[addedDate]])</f>
        <v>13</v>
      </c>
      <c r="Y376">
        <f ca="1">IF(ISNUMBER(properties[[#This Row],[archivedDate]]),properties[[#This Row],[archivedDate]]-properties[[#This Row],[addedDate]],TODAY()-properties[[#This Row],[addedDate]])</f>
        <v>13</v>
      </c>
    </row>
    <row r="377" spans="1:25" x14ac:dyDescent="0.25">
      <c r="A377" s="1">
        <v>46106</v>
      </c>
      <c r="B377" t="s">
        <v>1316</v>
      </c>
      <c r="C377" t="s">
        <v>120</v>
      </c>
      <c r="D377" s="1"/>
      <c r="E377" t="s">
        <v>34</v>
      </c>
      <c r="F377">
        <v>0</v>
      </c>
      <c r="G377" t="s">
        <v>1317</v>
      </c>
      <c r="H377" t="s">
        <v>1318</v>
      </c>
      <c r="I377">
        <v>508</v>
      </c>
      <c r="J377">
        <v>508</v>
      </c>
      <c r="K377">
        <v>0</v>
      </c>
      <c r="L377" t="s">
        <v>28</v>
      </c>
      <c r="M377">
        <v>2395000</v>
      </c>
      <c r="N377">
        <v>0</v>
      </c>
      <c r="O377" t="s">
        <v>29</v>
      </c>
      <c r="P377" t="s">
        <v>98</v>
      </c>
      <c r="Q377" t="s">
        <v>43</v>
      </c>
      <c r="R377" t="s">
        <v>124</v>
      </c>
      <c r="S377" t="s">
        <v>43</v>
      </c>
      <c r="V377">
        <v>4714.5669291338581</v>
      </c>
      <c r="W377">
        <v>4714.5669291338581</v>
      </c>
      <c r="X377">
        <f ca="1">IF(ISNUMBER(properties[[#This Row],[archivedDate]]),properties[[#This Row],[archivedDate]]-properties[[#This Row],[addedDate]],TODAY()-properties[[#This Row],[addedDate]])</f>
        <v>13</v>
      </c>
      <c r="Y377">
        <f ca="1">IF(ISNUMBER(properties[[#This Row],[archivedDate]]),properties[[#This Row],[archivedDate]]-properties[[#This Row],[addedDate]],TODAY()-properties[[#This Row],[addedDate]])</f>
        <v>13</v>
      </c>
    </row>
    <row r="378" spans="1:25" x14ac:dyDescent="0.25">
      <c r="A378" s="1">
        <v>46107</v>
      </c>
      <c r="B378" t="s">
        <v>1319</v>
      </c>
      <c r="C378" t="s">
        <v>372</v>
      </c>
      <c r="D378" s="1"/>
      <c r="E378" t="s">
        <v>95</v>
      </c>
      <c r="F378">
        <v>3</v>
      </c>
      <c r="G378" t="s">
        <v>1320</v>
      </c>
      <c r="H378" t="s">
        <v>1321</v>
      </c>
      <c r="I378">
        <v>121</v>
      </c>
      <c r="J378">
        <v>380</v>
      </c>
      <c r="K378">
        <v>0</v>
      </c>
      <c r="L378" t="s">
        <v>28</v>
      </c>
      <c r="M378">
        <v>995000</v>
      </c>
      <c r="N378">
        <v>0</v>
      </c>
      <c r="O378" t="s">
        <v>29</v>
      </c>
      <c r="P378" t="s">
        <v>297</v>
      </c>
      <c r="Q378" t="s">
        <v>43</v>
      </c>
      <c r="R378" t="s">
        <v>372</v>
      </c>
      <c r="S378" t="s">
        <v>43</v>
      </c>
      <c r="V378">
        <v>8223.1404958677685</v>
      </c>
      <c r="W378">
        <v>2618.4210526315787</v>
      </c>
      <c r="X378">
        <f ca="1">IF(ISNUMBER(properties[[#This Row],[archivedDate]]),properties[[#This Row],[archivedDate]]-properties[[#This Row],[addedDate]],TODAY()-properties[[#This Row],[addedDate]])</f>
        <v>12</v>
      </c>
      <c r="Y378">
        <f ca="1">IF(ISNUMBER(properties[[#This Row],[archivedDate]]),properties[[#This Row],[archivedDate]]-properties[[#This Row],[addedDate]],TODAY()-properties[[#This Row],[addedDate]])</f>
        <v>12</v>
      </c>
    </row>
    <row r="379" spans="1:25" x14ac:dyDescent="0.25">
      <c r="A379" s="1">
        <v>46108</v>
      </c>
      <c r="B379" t="s">
        <v>1322</v>
      </c>
      <c r="C379" t="s">
        <v>120</v>
      </c>
      <c r="D379" s="1"/>
      <c r="E379" t="s">
        <v>34</v>
      </c>
      <c r="F379">
        <v>0</v>
      </c>
      <c r="G379" t="s">
        <v>1323</v>
      </c>
      <c r="H379" t="s">
        <v>1324</v>
      </c>
      <c r="I379">
        <v>260</v>
      </c>
      <c r="J379">
        <v>695</v>
      </c>
      <c r="K379">
        <v>0</v>
      </c>
      <c r="L379" t="s">
        <v>28</v>
      </c>
      <c r="M379">
        <v>4495000</v>
      </c>
      <c r="N379">
        <v>0</v>
      </c>
      <c r="O379" t="s">
        <v>29</v>
      </c>
      <c r="P379" t="s">
        <v>30</v>
      </c>
      <c r="Q379" t="s">
        <v>43</v>
      </c>
      <c r="R379" t="s">
        <v>124</v>
      </c>
      <c r="S379" t="s">
        <v>43</v>
      </c>
      <c r="V379">
        <v>17288.461538461539</v>
      </c>
      <c r="W379">
        <v>6467.6258992805751</v>
      </c>
      <c r="X379">
        <f ca="1">IF(ISNUMBER(properties[[#This Row],[archivedDate]]),properties[[#This Row],[archivedDate]]-properties[[#This Row],[addedDate]],TODAY()-properties[[#This Row],[addedDate]])</f>
        <v>11</v>
      </c>
      <c r="Y379">
        <f ca="1">IF(ISNUMBER(properties[[#This Row],[archivedDate]]),properties[[#This Row],[archivedDate]]-properties[[#This Row],[addedDate]],TODAY()-properties[[#This Row],[addedDate]])</f>
        <v>11</v>
      </c>
    </row>
    <row r="380" spans="1:25" x14ac:dyDescent="0.25">
      <c r="A380" s="1">
        <v>46108</v>
      </c>
      <c r="B380" t="s">
        <v>1325</v>
      </c>
      <c r="C380" t="s">
        <v>372</v>
      </c>
      <c r="D380" s="1"/>
      <c r="E380" t="s">
        <v>141</v>
      </c>
      <c r="F380">
        <v>3</v>
      </c>
      <c r="G380" t="s">
        <v>1326</v>
      </c>
      <c r="H380" t="s">
        <v>1327</v>
      </c>
      <c r="I380">
        <v>159</v>
      </c>
      <c r="J380">
        <v>102</v>
      </c>
      <c r="K380">
        <v>0</v>
      </c>
      <c r="L380" t="s">
        <v>28</v>
      </c>
      <c r="M380">
        <v>1750000</v>
      </c>
      <c r="N380">
        <v>0</v>
      </c>
      <c r="O380" t="s">
        <v>29</v>
      </c>
      <c r="P380" t="s">
        <v>30</v>
      </c>
      <c r="Q380" t="s">
        <v>43</v>
      </c>
      <c r="R380" t="s">
        <v>372</v>
      </c>
      <c r="S380" t="s">
        <v>43</v>
      </c>
      <c r="V380">
        <v>11006.289308176101</v>
      </c>
      <c r="W380">
        <v>17156.862745098038</v>
      </c>
      <c r="X380">
        <f ca="1">IF(ISNUMBER(properties[[#This Row],[archivedDate]]),properties[[#This Row],[archivedDate]]-properties[[#This Row],[addedDate]],TODAY()-properties[[#This Row],[addedDate]])</f>
        <v>11</v>
      </c>
      <c r="Y380">
        <f ca="1">IF(ISNUMBER(properties[[#This Row],[archivedDate]]),properties[[#This Row],[archivedDate]]-properties[[#This Row],[addedDate]],TODAY()-properties[[#This Row],[addedDate]])</f>
        <v>11</v>
      </c>
    </row>
    <row r="381" spans="1:25" x14ac:dyDescent="0.25">
      <c r="A381" s="1">
        <v>45763</v>
      </c>
      <c r="B381" t="s">
        <v>1328</v>
      </c>
      <c r="C381" t="s">
        <v>24</v>
      </c>
      <c r="D381" s="1">
        <v>46001</v>
      </c>
      <c r="E381" t="s">
        <v>501</v>
      </c>
      <c r="F381">
        <v>2</v>
      </c>
      <c r="G381" t="s">
        <v>1329</v>
      </c>
      <c r="H381" t="s">
        <v>1330</v>
      </c>
      <c r="I381">
        <v>562</v>
      </c>
      <c r="J381">
        <v>752</v>
      </c>
      <c r="K381">
        <v>0</v>
      </c>
      <c r="L381" t="s">
        <v>28</v>
      </c>
      <c r="M381">
        <v>5500000</v>
      </c>
      <c r="N381">
        <v>0</v>
      </c>
      <c r="O381" t="s">
        <v>103</v>
      </c>
      <c r="P381" t="s">
        <v>185</v>
      </c>
      <c r="Q381" t="s">
        <v>43</v>
      </c>
      <c r="R381" t="s">
        <v>24</v>
      </c>
      <c r="S381" t="s">
        <v>1331</v>
      </c>
      <c r="V381">
        <v>9786.4768683274015</v>
      </c>
      <c r="W381">
        <v>7313.8297872340427</v>
      </c>
      <c r="X381">
        <f ca="1">IF(ISNUMBER(properties[[#This Row],[archivedDate]]),properties[[#This Row],[archivedDate]]-properties[[#This Row],[addedDate]],TODAY()-properties[[#This Row],[addedDate]])</f>
        <v>238</v>
      </c>
      <c r="Y381">
        <f ca="1">IF(ISNUMBER(properties[[#This Row],[archivedDate]]),properties[[#This Row],[archivedDate]]-properties[[#This Row],[addedDate]],TODAY()-properties[[#This Row],[addedDate]])</f>
        <v>238</v>
      </c>
    </row>
    <row r="382" spans="1:25" x14ac:dyDescent="0.25">
      <c r="A382" s="1">
        <v>45775</v>
      </c>
      <c r="B382" t="s">
        <v>1332</v>
      </c>
      <c r="C382" t="s">
        <v>24</v>
      </c>
      <c r="D382" s="1">
        <v>45791</v>
      </c>
      <c r="E382" t="s">
        <v>316</v>
      </c>
      <c r="F382">
        <v>3</v>
      </c>
      <c r="G382" t="s">
        <v>1333</v>
      </c>
      <c r="H382" t="s">
        <v>1334</v>
      </c>
      <c r="I382">
        <v>142</v>
      </c>
      <c r="J382">
        <v>855</v>
      </c>
      <c r="K382">
        <v>2250000</v>
      </c>
      <c r="L382" t="s">
        <v>28</v>
      </c>
      <c r="M382">
        <v>2195000</v>
      </c>
      <c r="N382">
        <v>0</v>
      </c>
      <c r="O382" t="s">
        <v>103</v>
      </c>
      <c r="P382" t="s">
        <v>30</v>
      </c>
      <c r="Q382" t="s">
        <v>43</v>
      </c>
      <c r="R382" t="s">
        <v>24</v>
      </c>
      <c r="S382" t="s">
        <v>1335</v>
      </c>
      <c r="T382">
        <v>15845.070422535211</v>
      </c>
      <c r="U382">
        <v>2631.5789473684213</v>
      </c>
      <c r="V382">
        <v>15457.74647887324</v>
      </c>
      <c r="W382">
        <v>2567.2514619883041</v>
      </c>
      <c r="X382">
        <f ca="1">IF(ISNUMBER(properties[[#This Row],[archivedDate]]),properties[[#This Row],[archivedDate]]-properties[[#This Row],[addedDate]],TODAY()-properties[[#This Row],[addedDate]])</f>
        <v>16</v>
      </c>
      <c r="Y382">
        <f ca="1">IF(ISNUMBER(properties[[#This Row],[archivedDate]]),properties[[#This Row],[archivedDate]]-properties[[#This Row],[addedDate]],TODAY()-properties[[#This Row],[addedDate]])</f>
        <v>16</v>
      </c>
    </row>
    <row r="383" spans="1:25" x14ac:dyDescent="0.25">
      <c r="A383" s="1">
        <v>45776</v>
      </c>
      <c r="B383" t="s">
        <v>1336</v>
      </c>
      <c r="C383" t="s">
        <v>24</v>
      </c>
      <c r="D383" s="1">
        <v>45791</v>
      </c>
      <c r="E383" t="s">
        <v>316</v>
      </c>
      <c r="F383">
        <v>2</v>
      </c>
      <c r="G383" t="s">
        <v>1337</v>
      </c>
      <c r="H383" t="s">
        <v>1338</v>
      </c>
      <c r="I383">
        <v>206</v>
      </c>
      <c r="J383">
        <v>507</v>
      </c>
      <c r="K383">
        <v>2600000</v>
      </c>
      <c r="L383" t="s">
        <v>28</v>
      </c>
      <c r="M383">
        <v>2795000</v>
      </c>
      <c r="N383">
        <v>0</v>
      </c>
      <c r="O383" t="s">
        <v>103</v>
      </c>
      <c r="P383" t="s">
        <v>30</v>
      </c>
      <c r="Q383" t="s">
        <v>43</v>
      </c>
      <c r="R383" t="s">
        <v>24</v>
      </c>
      <c r="S383" t="s">
        <v>1339</v>
      </c>
      <c r="T383">
        <v>12621.359223300971</v>
      </c>
      <c r="U383">
        <v>5128.2051282051279</v>
      </c>
      <c r="V383">
        <v>13567.961165048544</v>
      </c>
      <c r="W383">
        <v>5512.8205128205127</v>
      </c>
      <c r="X383">
        <f ca="1">IF(ISNUMBER(properties[[#This Row],[archivedDate]]),properties[[#This Row],[archivedDate]]-properties[[#This Row],[addedDate]],TODAY()-properties[[#This Row],[addedDate]])</f>
        <v>15</v>
      </c>
      <c r="Y383">
        <f ca="1">IF(ISNUMBER(properties[[#This Row],[archivedDate]]),properties[[#This Row],[archivedDate]]-properties[[#This Row],[addedDate]],TODAY()-properties[[#This Row],[addedDate]])</f>
        <v>15</v>
      </c>
    </row>
    <row r="384" spans="1:25" x14ac:dyDescent="0.25">
      <c r="A384" s="1">
        <v>45777</v>
      </c>
      <c r="B384" t="s">
        <v>1340</v>
      </c>
      <c r="C384" t="s">
        <v>24</v>
      </c>
      <c r="D384" s="1">
        <v>45798</v>
      </c>
      <c r="E384" t="s">
        <v>34</v>
      </c>
      <c r="F384">
        <v>1</v>
      </c>
      <c r="G384" t="s">
        <v>1341</v>
      </c>
      <c r="H384" t="s">
        <v>1342</v>
      </c>
      <c r="I384">
        <v>108</v>
      </c>
      <c r="J384">
        <v>0</v>
      </c>
      <c r="K384">
        <v>0</v>
      </c>
      <c r="L384" t="s">
        <v>28</v>
      </c>
      <c r="M384">
        <v>4445000</v>
      </c>
      <c r="N384">
        <v>0</v>
      </c>
      <c r="O384" t="s">
        <v>103</v>
      </c>
      <c r="P384" t="s">
        <v>75</v>
      </c>
      <c r="Q384" t="s">
        <v>43</v>
      </c>
      <c r="R384" t="s">
        <v>24</v>
      </c>
      <c r="S384" t="s">
        <v>320</v>
      </c>
      <c r="V384">
        <v>41157.407407407409</v>
      </c>
      <c r="X384">
        <f ca="1">IF(ISNUMBER(properties[[#This Row],[archivedDate]]),properties[[#This Row],[archivedDate]]-properties[[#This Row],[addedDate]],TODAY()-properties[[#This Row],[addedDate]])</f>
        <v>21</v>
      </c>
      <c r="Y384">
        <f ca="1">IF(ISNUMBER(properties[[#This Row],[archivedDate]]),properties[[#This Row],[archivedDate]]-properties[[#This Row],[addedDate]],TODAY()-properties[[#This Row],[addedDate]])</f>
        <v>21</v>
      </c>
    </row>
    <row r="385" spans="1:25" x14ac:dyDescent="0.25">
      <c r="A385" s="1">
        <v>45778</v>
      </c>
      <c r="B385" t="s">
        <v>1343</v>
      </c>
      <c r="C385" t="s">
        <v>24</v>
      </c>
      <c r="D385" s="1">
        <v>45845</v>
      </c>
      <c r="E385" t="s">
        <v>316</v>
      </c>
      <c r="F385">
        <v>0</v>
      </c>
      <c r="G385" t="s">
        <v>1344</v>
      </c>
      <c r="H385" t="s">
        <v>1345</v>
      </c>
      <c r="I385">
        <v>137</v>
      </c>
      <c r="J385">
        <v>94</v>
      </c>
      <c r="K385">
        <v>1850000</v>
      </c>
      <c r="L385" t="s">
        <v>28</v>
      </c>
      <c r="M385">
        <v>2195000</v>
      </c>
      <c r="N385">
        <v>0</v>
      </c>
      <c r="O385" t="s">
        <v>103</v>
      </c>
      <c r="P385" t="s">
        <v>30</v>
      </c>
      <c r="Q385" t="s">
        <v>43</v>
      </c>
      <c r="R385" t="s">
        <v>24</v>
      </c>
      <c r="S385" t="s">
        <v>43</v>
      </c>
      <c r="T385">
        <v>13503.649635036496</v>
      </c>
      <c r="U385">
        <v>19680.851063829788</v>
      </c>
      <c r="V385">
        <v>16021.897810218978</v>
      </c>
      <c r="W385">
        <v>23351.063829787236</v>
      </c>
      <c r="X385">
        <f ca="1">IF(ISNUMBER(properties[[#This Row],[archivedDate]]),properties[[#This Row],[archivedDate]]-properties[[#This Row],[addedDate]],TODAY()-properties[[#This Row],[addedDate]])</f>
        <v>67</v>
      </c>
      <c r="Y385">
        <f ca="1">IF(ISNUMBER(properties[[#This Row],[archivedDate]]),properties[[#This Row],[archivedDate]]-properties[[#This Row],[addedDate]],TODAY()-properties[[#This Row],[addedDate]])</f>
        <v>67</v>
      </c>
    </row>
    <row r="386" spans="1:25" x14ac:dyDescent="0.25">
      <c r="A386" s="1">
        <v>45778</v>
      </c>
      <c r="B386" t="s">
        <v>1346</v>
      </c>
      <c r="C386" t="s">
        <v>24</v>
      </c>
      <c r="D386" s="1">
        <v>45887</v>
      </c>
      <c r="E386" t="s">
        <v>46</v>
      </c>
      <c r="F386">
        <v>1</v>
      </c>
      <c r="G386" t="s">
        <v>1347</v>
      </c>
      <c r="H386" t="s">
        <v>1348</v>
      </c>
      <c r="I386">
        <v>97</v>
      </c>
      <c r="J386">
        <v>0</v>
      </c>
      <c r="K386">
        <v>3400000</v>
      </c>
      <c r="L386" t="s">
        <v>28</v>
      </c>
      <c r="M386">
        <v>3695000</v>
      </c>
      <c r="N386">
        <v>0</v>
      </c>
      <c r="O386" t="s">
        <v>103</v>
      </c>
      <c r="P386" t="s">
        <v>75</v>
      </c>
      <c r="Q386" t="s">
        <v>43</v>
      </c>
      <c r="R386" t="s">
        <v>24</v>
      </c>
      <c r="S386" t="s">
        <v>1349</v>
      </c>
      <c r="T386">
        <v>35051.546391752578</v>
      </c>
      <c r="V386">
        <v>38092.783505154643</v>
      </c>
      <c r="X386">
        <f ca="1">IF(ISNUMBER(properties[[#This Row],[archivedDate]]),properties[[#This Row],[archivedDate]]-properties[[#This Row],[addedDate]],TODAY()-properties[[#This Row],[addedDate]])</f>
        <v>109</v>
      </c>
      <c r="Y386">
        <f ca="1">IF(ISNUMBER(properties[[#This Row],[archivedDate]]),properties[[#This Row],[archivedDate]]-properties[[#This Row],[addedDate]],TODAY()-properties[[#This Row],[addedDate]])</f>
        <v>109</v>
      </c>
    </row>
    <row r="387" spans="1:25" x14ac:dyDescent="0.25">
      <c r="A387" s="1">
        <v>45784</v>
      </c>
      <c r="B387" t="s">
        <v>1350</v>
      </c>
      <c r="C387" t="s">
        <v>24</v>
      </c>
      <c r="D387" s="1">
        <v>45796</v>
      </c>
      <c r="E387" t="s">
        <v>886</v>
      </c>
      <c r="F387">
        <v>2</v>
      </c>
      <c r="G387" t="s">
        <v>1351</v>
      </c>
      <c r="H387" t="s">
        <v>1352</v>
      </c>
      <c r="I387">
        <v>224</v>
      </c>
      <c r="J387">
        <v>439</v>
      </c>
      <c r="K387">
        <v>0</v>
      </c>
      <c r="L387" t="s">
        <v>28</v>
      </c>
      <c r="M387">
        <v>1745000</v>
      </c>
      <c r="N387">
        <v>0</v>
      </c>
      <c r="O387" t="s">
        <v>103</v>
      </c>
      <c r="P387" t="s">
        <v>30</v>
      </c>
      <c r="Q387" t="s">
        <v>43</v>
      </c>
      <c r="R387" t="s">
        <v>24</v>
      </c>
      <c r="S387" t="s">
        <v>1353</v>
      </c>
      <c r="V387">
        <v>7790.1785714285716</v>
      </c>
      <c r="W387">
        <v>3974.9430523917995</v>
      </c>
      <c r="X387">
        <f ca="1">IF(ISNUMBER(properties[[#This Row],[archivedDate]]),properties[[#This Row],[archivedDate]]-properties[[#This Row],[addedDate]],TODAY()-properties[[#This Row],[addedDate]])</f>
        <v>12</v>
      </c>
      <c r="Y387">
        <f ca="1">IF(ISNUMBER(properties[[#This Row],[archivedDate]]),properties[[#This Row],[archivedDate]]-properties[[#This Row],[addedDate]],TODAY()-properties[[#This Row],[addedDate]])</f>
        <v>12</v>
      </c>
    </row>
    <row r="388" spans="1:25" x14ac:dyDescent="0.25">
      <c r="A388" s="1">
        <v>45789</v>
      </c>
      <c r="B388" t="s">
        <v>1354</v>
      </c>
      <c r="C388" t="s">
        <v>24</v>
      </c>
      <c r="D388" s="1">
        <v>45887</v>
      </c>
      <c r="E388" t="s">
        <v>141</v>
      </c>
      <c r="F388">
        <v>3</v>
      </c>
      <c r="G388" t="s">
        <v>1355</v>
      </c>
      <c r="H388" t="s">
        <v>1356</v>
      </c>
      <c r="I388">
        <v>268</v>
      </c>
      <c r="J388">
        <v>215</v>
      </c>
      <c r="K388">
        <v>0</v>
      </c>
      <c r="L388" t="s">
        <v>28</v>
      </c>
      <c r="M388">
        <v>2995000</v>
      </c>
      <c r="N388">
        <v>0</v>
      </c>
      <c r="O388" t="s">
        <v>103</v>
      </c>
      <c r="P388" t="s">
        <v>30</v>
      </c>
      <c r="Q388" t="s">
        <v>43</v>
      </c>
      <c r="R388" t="s">
        <v>24</v>
      </c>
      <c r="S388" t="s">
        <v>1357</v>
      </c>
      <c r="V388">
        <v>11175.373134328358</v>
      </c>
      <c r="W388">
        <v>13930.232558139534</v>
      </c>
      <c r="X388">
        <f ca="1">IF(ISNUMBER(properties[[#This Row],[archivedDate]]),properties[[#This Row],[archivedDate]]-properties[[#This Row],[addedDate]],TODAY()-properties[[#This Row],[addedDate]])</f>
        <v>98</v>
      </c>
      <c r="Y388">
        <f ca="1">IF(ISNUMBER(properties[[#This Row],[archivedDate]]),properties[[#This Row],[archivedDate]]-properties[[#This Row],[addedDate]],TODAY()-properties[[#This Row],[addedDate]])</f>
        <v>98</v>
      </c>
    </row>
    <row r="389" spans="1:25" x14ac:dyDescent="0.25">
      <c r="A389" s="1">
        <v>45789</v>
      </c>
      <c r="B389" t="s">
        <v>1358</v>
      </c>
      <c r="C389" t="s">
        <v>24</v>
      </c>
      <c r="D389" s="1">
        <v>45799</v>
      </c>
      <c r="E389" t="s">
        <v>90</v>
      </c>
      <c r="F389">
        <v>0</v>
      </c>
      <c r="G389" t="s">
        <v>1359</v>
      </c>
      <c r="H389" t="s">
        <v>1360</v>
      </c>
      <c r="I389">
        <v>0</v>
      </c>
      <c r="J389">
        <v>703</v>
      </c>
      <c r="K389">
        <v>0</v>
      </c>
      <c r="L389" t="s">
        <v>28</v>
      </c>
      <c r="M389">
        <v>258500</v>
      </c>
      <c r="N389">
        <v>0</v>
      </c>
      <c r="O389" t="s">
        <v>103</v>
      </c>
      <c r="P389" t="s">
        <v>98</v>
      </c>
      <c r="Q389" t="s">
        <v>43</v>
      </c>
      <c r="R389" t="s">
        <v>24</v>
      </c>
      <c r="S389" t="s">
        <v>43</v>
      </c>
      <c r="W389">
        <v>367.70981507823615</v>
      </c>
      <c r="X389">
        <f ca="1">IF(ISNUMBER(properties[[#This Row],[archivedDate]]),properties[[#This Row],[archivedDate]]-properties[[#This Row],[addedDate]],TODAY()-properties[[#This Row],[addedDate]])</f>
        <v>10</v>
      </c>
      <c r="Y389">
        <f ca="1">IF(ISNUMBER(properties[[#This Row],[archivedDate]]),properties[[#This Row],[archivedDate]]-properties[[#This Row],[addedDate]],TODAY()-properties[[#This Row],[addedDate]])</f>
        <v>10</v>
      </c>
    </row>
    <row r="390" spans="1:25" x14ac:dyDescent="0.25">
      <c r="A390" s="1">
        <v>45792</v>
      </c>
      <c r="B390" t="s">
        <v>1361</v>
      </c>
      <c r="C390" t="s">
        <v>24</v>
      </c>
      <c r="D390" s="1">
        <v>45852</v>
      </c>
      <c r="E390" t="s">
        <v>346</v>
      </c>
      <c r="F390">
        <v>3</v>
      </c>
      <c r="G390" t="s">
        <v>1362</v>
      </c>
      <c r="H390" t="s">
        <v>1363</v>
      </c>
      <c r="I390">
        <v>307</v>
      </c>
      <c r="J390">
        <v>643</v>
      </c>
      <c r="K390">
        <v>0</v>
      </c>
      <c r="L390" t="s">
        <v>28</v>
      </c>
      <c r="M390">
        <v>3200000</v>
      </c>
      <c r="N390">
        <v>0</v>
      </c>
      <c r="O390" t="s">
        <v>103</v>
      </c>
      <c r="P390" t="s">
        <v>30</v>
      </c>
      <c r="Q390" t="s">
        <v>43</v>
      </c>
      <c r="R390" t="s">
        <v>24</v>
      </c>
      <c r="S390" t="s">
        <v>1364</v>
      </c>
      <c r="V390">
        <v>10423.452768729641</v>
      </c>
      <c r="W390">
        <v>4976.6718506998441</v>
      </c>
      <c r="X390">
        <f ca="1">IF(ISNUMBER(properties[[#This Row],[archivedDate]]),properties[[#This Row],[archivedDate]]-properties[[#This Row],[addedDate]],TODAY()-properties[[#This Row],[addedDate]])</f>
        <v>60</v>
      </c>
      <c r="Y390">
        <f ca="1">IF(ISNUMBER(properties[[#This Row],[archivedDate]]),properties[[#This Row],[archivedDate]]-properties[[#This Row],[addedDate]],TODAY()-properties[[#This Row],[addedDate]])</f>
        <v>60</v>
      </c>
    </row>
    <row r="391" spans="1:25" x14ac:dyDescent="0.25">
      <c r="A391" s="1">
        <v>45792</v>
      </c>
      <c r="B391" t="s">
        <v>1365</v>
      </c>
      <c r="C391" t="s">
        <v>24</v>
      </c>
      <c r="D391" s="1">
        <v>45814</v>
      </c>
      <c r="E391" t="s">
        <v>34</v>
      </c>
      <c r="F391">
        <v>2</v>
      </c>
      <c r="G391" t="s">
        <v>1366</v>
      </c>
      <c r="H391" t="s">
        <v>1367</v>
      </c>
      <c r="I391">
        <v>65</v>
      </c>
      <c r="J391">
        <v>0</v>
      </c>
      <c r="K391">
        <v>0</v>
      </c>
      <c r="L391" t="s">
        <v>28</v>
      </c>
      <c r="M391">
        <v>2795000</v>
      </c>
      <c r="N391">
        <v>0</v>
      </c>
      <c r="O391" t="s">
        <v>103</v>
      </c>
      <c r="P391" t="s">
        <v>75</v>
      </c>
      <c r="Q391" t="s">
        <v>43</v>
      </c>
      <c r="R391" t="s">
        <v>24</v>
      </c>
      <c r="S391" t="s">
        <v>302</v>
      </c>
      <c r="V391">
        <v>43000</v>
      </c>
      <c r="X391">
        <f ca="1">IF(ISNUMBER(properties[[#This Row],[archivedDate]]),properties[[#This Row],[archivedDate]]-properties[[#This Row],[addedDate]],TODAY()-properties[[#This Row],[addedDate]])</f>
        <v>22</v>
      </c>
      <c r="Y391">
        <f ca="1">IF(ISNUMBER(properties[[#This Row],[archivedDate]]),properties[[#This Row],[archivedDate]]-properties[[#This Row],[addedDate]],TODAY()-properties[[#This Row],[addedDate]])</f>
        <v>22</v>
      </c>
    </row>
    <row r="392" spans="1:25" x14ac:dyDescent="0.25">
      <c r="A392" s="1">
        <v>45798</v>
      </c>
      <c r="B392" t="s">
        <v>1368</v>
      </c>
      <c r="C392" t="s">
        <v>24</v>
      </c>
      <c r="D392" s="1">
        <v>45811</v>
      </c>
      <c r="E392" t="s">
        <v>34</v>
      </c>
      <c r="F392">
        <v>3</v>
      </c>
      <c r="G392" t="s">
        <v>1369</v>
      </c>
      <c r="H392" t="s">
        <v>1370</v>
      </c>
      <c r="I392">
        <v>304</v>
      </c>
      <c r="J392">
        <v>542</v>
      </c>
      <c r="K392">
        <v>5300000</v>
      </c>
      <c r="L392" t="s">
        <v>28</v>
      </c>
      <c r="M392">
        <v>4750000</v>
      </c>
      <c r="N392">
        <v>0</v>
      </c>
      <c r="O392" t="s">
        <v>103</v>
      </c>
      <c r="P392" t="s">
        <v>30</v>
      </c>
      <c r="Q392" t="s">
        <v>43</v>
      </c>
      <c r="R392" t="s">
        <v>24</v>
      </c>
      <c r="S392" t="s">
        <v>1353</v>
      </c>
      <c r="T392">
        <v>17434.21052631579</v>
      </c>
      <c r="U392">
        <v>9778.5977859778595</v>
      </c>
      <c r="V392">
        <v>15625</v>
      </c>
      <c r="W392">
        <v>8763.8376383763843</v>
      </c>
      <c r="X392">
        <f ca="1">IF(ISNUMBER(properties[[#This Row],[archivedDate]]),properties[[#This Row],[archivedDate]]-properties[[#This Row],[addedDate]],TODAY()-properties[[#This Row],[addedDate]])</f>
        <v>13</v>
      </c>
      <c r="Y392">
        <f ca="1">IF(ISNUMBER(properties[[#This Row],[archivedDate]]),properties[[#This Row],[archivedDate]]-properties[[#This Row],[addedDate]],TODAY()-properties[[#This Row],[addedDate]])</f>
        <v>13</v>
      </c>
    </row>
    <row r="393" spans="1:25" x14ac:dyDescent="0.25">
      <c r="A393" s="1">
        <v>45799</v>
      </c>
      <c r="B393" t="s">
        <v>1371</v>
      </c>
      <c r="C393" t="s">
        <v>24</v>
      </c>
      <c r="D393" s="1">
        <v>45887</v>
      </c>
      <c r="E393" t="s">
        <v>200</v>
      </c>
      <c r="F393">
        <v>3</v>
      </c>
      <c r="G393" t="s">
        <v>1372</v>
      </c>
      <c r="H393" t="s">
        <v>1373</v>
      </c>
      <c r="I393">
        <v>265</v>
      </c>
      <c r="J393">
        <v>181</v>
      </c>
      <c r="K393">
        <v>650000</v>
      </c>
      <c r="L393" t="s">
        <v>28</v>
      </c>
      <c r="M393">
        <v>850000</v>
      </c>
      <c r="N393">
        <v>0</v>
      </c>
      <c r="O393" t="s">
        <v>103</v>
      </c>
      <c r="P393" t="s">
        <v>30</v>
      </c>
      <c r="Q393" t="s">
        <v>43</v>
      </c>
      <c r="R393" t="s">
        <v>24</v>
      </c>
      <c r="S393" t="s">
        <v>1374</v>
      </c>
      <c r="T393">
        <v>2452.8301886792451</v>
      </c>
      <c r="U393">
        <v>3591.1602209944749</v>
      </c>
      <c r="V393">
        <v>3207.5471698113206</v>
      </c>
      <c r="W393">
        <v>4696.1325966850827</v>
      </c>
      <c r="X393">
        <f ca="1">IF(ISNUMBER(properties[[#This Row],[archivedDate]]),properties[[#This Row],[archivedDate]]-properties[[#This Row],[addedDate]],TODAY()-properties[[#This Row],[addedDate]])</f>
        <v>88</v>
      </c>
      <c r="Y393">
        <f ca="1">IF(ISNUMBER(properties[[#This Row],[archivedDate]]),properties[[#This Row],[archivedDate]]-properties[[#This Row],[addedDate]],TODAY()-properties[[#This Row],[addedDate]])</f>
        <v>88</v>
      </c>
    </row>
    <row r="394" spans="1:25" x14ac:dyDescent="0.25">
      <c r="A394" s="1">
        <v>45799</v>
      </c>
      <c r="B394" t="s">
        <v>1375</v>
      </c>
      <c r="C394" t="s">
        <v>24</v>
      </c>
      <c r="D394" s="1">
        <v>45811</v>
      </c>
      <c r="E394" t="s">
        <v>52</v>
      </c>
      <c r="F394">
        <v>2</v>
      </c>
      <c r="G394" t="s">
        <v>1376</v>
      </c>
      <c r="H394" t="s">
        <v>1377</v>
      </c>
      <c r="I394">
        <v>226</v>
      </c>
      <c r="J394">
        <v>612</v>
      </c>
      <c r="K394">
        <v>2400000</v>
      </c>
      <c r="L394" t="s">
        <v>28</v>
      </c>
      <c r="M394">
        <v>1995000</v>
      </c>
      <c r="N394">
        <v>0</v>
      </c>
      <c r="O394" t="s">
        <v>103</v>
      </c>
      <c r="P394" t="s">
        <v>30</v>
      </c>
      <c r="Q394" t="s">
        <v>43</v>
      </c>
      <c r="R394" t="s">
        <v>24</v>
      </c>
      <c r="S394" t="s">
        <v>1378</v>
      </c>
      <c r="T394">
        <v>10619.469026548673</v>
      </c>
      <c r="U394">
        <v>3921.5686274509803</v>
      </c>
      <c r="V394">
        <v>8827.4336283185839</v>
      </c>
      <c r="W394">
        <v>3259.8039215686276</v>
      </c>
      <c r="X394">
        <f ca="1">IF(ISNUMBER(properties[[#This Row],[archivedDate]]),properties[[#This Row],[archivedDate]]-properties[[#This Row],[addedDate]],TODAY()-properties[[#This Row],[addedDate]])</f>
        <v>12</v>
      </c>
      <c r="Y394">
        <f ca="1">IF(ISNUMBER(properties[[#This Row],[archivedDate]]),properties[[#This Row],[archivedDate]]-properties[[#This Row],[addedDate]],TODAY()-properties[[#This Row],[addedDate]])</f>
        <v>12</v>
      </c>
    </row>
    <row r="395" spans="1:25" x14ac:dyDescent="0.25">
      <c r="A395" s="1">
        <v>45799</v>
      </c>
      <c r="B395" t="s">
        <v>1379</v>
      </c>
      <c r="C395" t="s">
        <v>24</v>
      </c>
      <c r="D395" s="1">
        <v>45834</v>
      </c>
      <c r="E395" t="s">
        <v>82</v>
      </c>
      <c r="F395">
        <v>1</v>
      </c>
      <c r="G395" t="s">
        <v>1380</v>
      </c>
      <c r="H395" t="s">
        <v>1381</v>
      </c>
      <c r="I395">
        <v>168</v>
      </c>
      <c r="J395">
        <v>756</v>
      </c>
      <c r="K395">
        <v>3100000</v>
      </c>
      <c r="L395" t="s">
        <v>28</v>
      </c>
      <c r="M395">
        <v>2950000</v>
      </c>
      <c r="N395">
        <v>0</v>
      </c>
      <c r="O395" t="s">
        <v>103</v>
      </c>
      <c r="P395" t="s">
        <v>30</v>
      </c>
      <c r="Q395" t="s">
        <v>43</v>
      </c>
      <c r="R395" t="s">
        <v>24</v>
      </c>
      <c r="S395" t="s">
        <v>1382</v>
      </c>
      <c r="T395">
        <v>18452.380952380954</v>
      </c>
      <c r="U395">
        <v>4100.5291005291001</v>
      </c>
      <c r="V395">
        <v>17559.523809523809</v>
      </c>
      <c r="W395">
        <v>3902.1164021164022</v>
      </c>
      <c r="X395">
        <f ca="1">IF(ISNUMBER(properties[[#This Row],[archivedDate]]),properties[[#This Row],[archivedDate]]-properties[[#This Row],[addedDate]],TODAY()-properties[[#This Row],[addedDate]])</f>
        <v>35</v>
      </c>
      <c r="Y395">
        <f ca="1">IF(ISNUMBER(properties[[#This Row],[archivedDate]]),properties[[#This Row],[archivedDate]]-properties[[#This Row],[addedDate]],TODAY()-properties[[#This Row],[addedDate]])</f>
        <v>35</v>
      </c>
    </row>
    <row r="396" spans="1:25" x14ac:dyDescent="0.25">
      <c r="A396" s="1">
        <v>45799</v>
      </c>
      <c r="B396" t="s">
        <v>1383</v>
      </c>
      <c r="C396" t="s">
        <v>24</v>
      </c>
      <c r="D396" s="1">
        <v>45887</v>
      </c>
      <c r="E396" t="s">
        <v>200</v>
      </c>
      <c r="F396">
        <v>3</v>
      </c>
      <c r="G396" t="s">
        <v>1384</v>
      </c>
      <c r="H396" t="s">
        <v>1385</v>
      </c>
      <c r="I396">
        <v>449</v>
      </c>
      <c r="J396">
        <v>230</v>
      </c>
      <c r="K396">
        <v>650000</v>
      </c>
      <c r="L396" t="s">
        <v>28</v>
      </c>
      <c r="M396">
        <v>850000</v>
      </c>
      <c r="N396">
        <v>0</v>
      </c>
      <c r="O396" t="s">
        <v>103</v>
      </c>
      <c r="P396" t="s">
        <v>185</v>
      </c>
      <c r="Q396" t="s">
        <v>43</v>
      </c>
      <c r="R396" t="s">
        <v>24</v>
      </c>
      <c r="S396" t="s">
        <v>1386</v>
      </c>
      <c r="T396">
        <v>1447.6614699331849</v>
      </c>
      <c r="U396">
        <v>2826.086956521739</v>
      </c>
      <c r="V396">
        <v>1893.0957683741649</v>
      </c>
      <c r="W396">
        <v>3695.6521739130435</v>
      </c>
      <c r="X396">
        <f ca="1">IF(ISNUMBER(properties[[#This Row],[archivedDate]]),properties[[#This Row],[archivedDate]]-properties[[#This Row],[addedDate]],TODAY()-properties[[#This Row],[addedDate]])</f>
        <v>88</v>
      </c>
      <c r="Y396">
        <f ca="1">IF(ISNUMBER(properties[[#This Row],[archivedDate]]),properties[[#This Row],[archivedDate]]-properties[[#This Row],[addedDate]],TODAY()-properties[[#This Row],[addedDate]])</f>
        <v>88</v>
      </c>
    </row>
    <row r="397" spans="1:25" x14ac:dyDescent="0.25">
      <c r="A397" s="1">
        <v>45799</v>
      </c>
      <c r="B397" t="s">
        <v>1387</v>
      </c>
      <c r="C397" t="s">
        <v>24</v>
      </c>
      <c r="D397" s="1">
        <v>45821</v>
      </c>
      <c r="E397" t="s">
        <v>34</v>
      </c>
      <c r="F397">
        <v>2</v>
      </c>
      <c r="G397" t="s">
        <v>1388</v>
      </c>
      <c r="H397" t="s">
        <v>1389</v>
      </c>
      <c r="I397">
        <v>102</v>
      </c>
      <c r="J397">
        <v>1887</v>
      </c>
      <c r="K397">
        <v>2000000</v>
      </c>
      <c r="L397" t="s">
        <v>28</v>
      </c>
      <c r="M397">
        <v>2795000</v>
      </c>
      <c r="N397">
        <v>0</v>
      </c>
      <c r="O397" t="s">
        <v>103</v>
      </c>
      <c r="P397" t="s">
        <v>194</v>
      </c>
      <c r="Q397" t="s">
        <v>43</v>
      </c>
      <c r="R397" t="s">
        <v>24</v>
      </c>
      <c r="S397" t="s">
        <v>1390</v>
      </c>
      <c r="T397">
        <v>19607.843137254902</v>
      </c>
      <c r="U397">
        <v>1059.8834128245892</v>
      </c>
      <c r="V397">
        <v>27401.960784313724</v>
      </c>
      <c r="W397">
        <v>1481.1870694223635</v>
      </c>
      <c r="X397">
        <f ca="1">IF(ISNUMBER(properties[[#This Row],[archivedDate]]),properties[[#This Row],[archivedDate]]-properties[[#This Row],[addedDate]],TODAY()-properties[[#This Row],[addedDate]])</f>
        <v>22</v>
      </c>
      <c r="Y397">
        <f ca="1">IF(ISNUMBER(properties[[#This Row],[archivedDate]]),properties[[#This Row],[archivedDate]]-properties[[#This Row],[addedDate]],TODAY()-properties[[#This Row],[addedDate]])</f>
        <v>22</v>
      </c>
    </row>
    <row r="398" spans="1:25" x14ac:dyDescent="0.25">
      <c r="A398" s="1">
        <v>45800</v>
      </c>
      <c r="B398" t="s">
        <v>1391</v>
      </c>
      <c r="C398" t="s">
        <v>24</v>
      </c>
      <c r="D398" s="1">
        <v>45821</v>
      </c>
      <c r="E398" t="s">
        <v>528</v>
      </c>
      <c r="F398">
        <v>3</v>
      </c>
      <c r="G398" t="s">
        <v>1392</v>
      </c>
      <c r="H398" t="s">
        <v>1393</v>
      </c>
      <c r="I398">
        <v>122</v>
      </c>
      <c r="J398">
        <v>75</v>
      </c>
      <c r="K398">
        <v>1230000</v>
      </c>
      <c r="L398" t="s">
        <v>28</v>
      </c>
      <c r="M398">
        <v>1195000</v>
      </c>
      <c r="N398">
        <v>0</v>
      </c>
      <c r="O398" t="s">
        <v>103</v>
      </c>
      <c r="P398" t="s">
        <v>30</v>
      </c>
      <c r="Q398" t="s">
        <v>43</v>
      </c>
      <c r="R398" t="s">
        <v>24</v>
      </c>
      <c r="S398" t="s">
        <v>1394</v>
      </c>
      <c r="T398">
        <v>10081.967213114754</v>
      </c>
      <c r="U398">
        <v>16400</v>
      </c>
      <c r="V398">
        <v>9795.0819672131147</v>
      </c>
      <c r="W398">
        <v>15933.333333333334</v>
      </c>
      <c r="X398">
        <f ca="1">IF(ISNUMBER(properties[[#This Row],[archivedDate]]),properties[[#This Row],[archivedDate]]-properties[[#This Row],[addedDate]],TODAY()-properties[[#This Row],[addedDate]])</f>
        <v>21</v>
      </c>
      <c r="Y398">
        <f ca="1">IF(ISNUMBER(properties[[#This Row],[archivedDate]]),properties[[#This Row],[archivedDate]]-properties[[#This Row],[addedDate]],TODAY()-properties[[#This Row],[addedDate]])</f>
        <v>21</v>
      </c>
    </row>
    <row r="399" spans="1:25" x14ac:dyDescent="0.25">
      <c r="A399" s="1">
        <v>45800</v>
      </c>
      <c r="B399" t="s">
        <v>1395</v>
      </c>
      <c r="C399" t="s">
        <v>24</v>
      </c>
      <c r="D399" s="1">
        <v>45911</v>
      </c>
      <c r="E399" t="s">
        <v>215</v>
      </c>
      <c r="F399">
        <v>1</v>
      </c>
      <c r="G399" t="s">
        <v>1396</v>
      </c>
      <c r="H399" t="s">
        <v>1397</v>
      </c>
      <c r="I399">
        <v>55</v>
      </c>
      <c r="J399">
        <v>0</v>
      </c>
      <c r="K399">
        <v>1950000</v>
      </c>
      <c r="L399" t="s">
        <v>28</v>
      </c>
      <c r="M399">
        <v>1995000</v>
      </c>
      <c r="N399">
        <v>0</v>
      </c>
      <c r="O399" t="s">
        <v>103</v>
      </c>
      <c r="P399" t="s">
        <v>185</v>
      </c>
      <c r="Q399" t="s">
        <v>43</v>
      </c>
      <c r="R399" t="s">
        <v>24</v>
      </c>
      <c r="S399" t="s">
        <v>1349</v>
      </c>
      <c r="T399">
        <v>35454.545454545456</v>
      </c>
      <c r="V399">
        <v>36272.727272727272</v>
      </c>
      <c r="X399">
        <f ca="1">IF(ISNUMBER(properties[[#This Row],[archivedDate]]),properties[[#This Row],[archivedDate]]-properties[[#This Row],[addedDate]],TODAY()-properties[[#This Row],[addedDate]])</f>
        <v>111</v>
      </c>
      <c r="Y399">
        <f ca="1">IF(ISNUMBER(properties[[#This Row],[archivedDate]]),properties[[#This Row],[archivedDate]]-properties[[#This Row],[addedDate]],TODAY()-properties[[#This Row],[addedDate]])</f>
        <v>111</v>
      </c>
    </row>
    <row r="400" spans="1:25" x14ac:dyDescent="0.25">
      <c r="A400" s="1">
        <v>45805</v>
      </c>
      <c r="B400" t="s">
        <v>1398</v>
      </c>
      <c r="C400" t="s">
        <v>24</v>
      </c>
      <c r="D400" s="1">
        <v>45819</v>
      </c>
      <c r="E400" t="s">
        <v>46</v>
      </c>
      <c r="F400">
        <v>3</v>
      </c>
      <c r="G400" t="s">
        <v>1399</v>
      </c>
      <c r="H400" t="s">
        <v>1400</v>
      </c>
      <c r="I400">
        <v>135</v>
      </c>
      <c r="J400">
        <v>298</v>
      </c>
      <c r="K400">
        <v>0</v>
      </c>
      <c r="L400" t="s">
        <v>28</v>
      </c>
      <c r="M400">
        <v>3995000</v>
      </c>
      <c r="N400">
        <v>0</v>
      </c>
      <c r="O400" t="s">
        <v>103</v>
      </c>
      <c r="P400" t="s">
        <v>30</v>
      </c>
      <c r="Q400" t="s">
        <v>43</v>
      </c>
      <c r="R400" t="s">
        <v>24</v>
      </c>
      <c r="S400" t="s">
        <v>1401</v>
      </c>
      <c r="V400">
        <v>29592.592592592591</v>
      </c>
      <c r="W400">
        <v>13406.040268456376</v>
      </c>
      <c r="X400">
        <f ca="1">IF(ISNUMBER(properties[[#This Row],[archivedDate]]),properties[[#This Row],[archivedDate]]-properties[[#This Row],[addedDate]],TODAY()-properties[[#This Row],[addedDate]])</f>
        <v>14</v>
      </c>
      <c r="Y400">
        <f ca="1">IF(ISNUMBER(properties[[#This Row],[archivedDate]]),properties[[#This Row],[archivedDate]]-properties[[#This Row],[addedDate]],TODAY()-properties[[#This Row],[addedDate]])</f>
        <v>14</v>
      </c>
    </row>
    <row r="401" spans="1:25" x14ac:dyDescent="0.25">
      <c r="A401" s="1">
        <v>45807</v>
      </c>
      <c r="B401" t="s">
        <v>1402</v>
      </c>
      <c r="C401" t="s">
        <v>24</v>
      </c>
      <c r="D401" s="1">
        <v>45819</v>
      </c>
      <c r="E401" t="s">
        <v>77</v>
      </c>
      <c r="F401">
        <v>2</v>
      </c>
      <c r="G401" t="s">
        <v>1403</v>
      </c>
      <c r="H401" t="s">
        <v>1404</v>
      </c>
      <c r="I401">
        <v>286</v>
      </c>
      <c r="J401">
        <v>1237</v>
      </c>
      <c r="K401">
        <v>0</v>
      </c>
      <c r="L401" t="s">
        <v>28</v>
      </c>
      <c r="M401">
        <v>3250000</v>
      </c>
      <c r="N401">
        <v>0</v>
      </c>
      <c r="O401" t="s">
        <v>103</v>
      </c>
      <c r="P401" t="s">
        <v>30</v>
      </c>
      <c r="Q401" t="s">
        <v>43</v>
      </c>
      <c r="R401" t="s">
        <v>24</v>
      </c>
      <c r="S401" t="s">
        <v>1405</v>
      </c>
      <c r="V401">
        <v>11363.636363636364</v>
      </c>
      <c r="W401">
        <v>2627.3241713823768</v>
      </c>
      <c r="X401">
        <f ca="1">IF(ISNUMBER(properties[[#This Row],[archivedDate]]),properties[[#This Row],[archivedDate]]-properties[[#This Row],[addedDate]],TODAY()-properties[[#This Row],[addedDate]])</f>
        <v>12</v>
      </c>
      <c r="Y401">
        <f ca="1">IF(ISNUMBER(properties[[#This Row],[archivedDate]]),properties[[#This Row],[archivedDate]]-properties[[#This Row],[addedDate]],TODAY()-properties[[#This Row],[addedDate]])</f>
        <v>12</v>
      </c>
    </row>
    <row r="402" spans="1:25" x14ac:dyDescent="0.25">
      <c r="A402" s="1">
        <v>45814</v>
      </c>
      <c r="B402" t="s">
        <v>1406</v>
      </c>
      <c r="C402" t="s">
        <v>24</v>
      </c>
      <c r="D402" s="1">
        <v>45827</v>
      </c>
      <c r="E402" t="s">
        <v>160</v>
      </c>
      <c r="F402">
        <v>3</v>
      </c>
      <c r="G402" t="s">
        <v>1407</v>
      </c>
      <c r="H402" t="s">
        <v>1408</v>
      </c>
      <c r="I402">
        <v>286</v>
      </c>
      <c r="J402">
        <v>730</v>
      </c>
      <c r="K402">
        <v>3250000</v>
      </c>
      <c r="L402" t="s">
        <v>28</v>
      </c>
      <c r="M402">
        <v>2695000</v>
      </c>
      <c r="N402">
        <v>0</v>
      </c>
      <c r="O402" t="s">
        <v>103</v>
      </c>
      <c r="P402" t="s">
        <v>30</v>
      </c>
      <c r="Q402" t="s">
        <v>43</v>
      </c>
      <c r="R402" t="s">
        <v>24</v>
      </c>
      <c r="S402" t="s">
        <v>1409</v>
      </c>
      <c r="T402">
        <v>11363.636363636364</v>
      </c>
      <c r="U402">
        <v>4452.0547945205481</v>
      </c>
      <c r="V402">
        <v>9423.0769230769238</v>
      </c>
      <c r="W402">
        <v>3691.7808219178082</v>
      </c>
      <c r="X402">
        <f ca="1">IF(ISNUMBER(properties[[#This Row],[archivedDate]]),properties[[#This Row],[archivedDate]]-properties[[#This Row],[addedDate]],TODAY()-properties[[#This Row],[addedDate]])</f>
        <v>13</v>
      </c>
      <c r="Y402">
        <f ca="1">IF(ISNUMBER(properties[[#This Row],[archivedDate]]),properties[[#This Row],[archivedDate]]-properties[[#This Row],[addedDate]],TODAY()-properties[[#This Row],[addedDate]])</f>
        <v>13</v>
      </c>
    </row>
    <row r="403" spans="1:25" x14ac:dyDescent="0.25">
      <c r="A403" s="1">
        <v>45814</v>
      </c>
      <c r="B403" t="s">
        <v>1410</v>
      </c>
      <c r="C403" t="s">
        <v>24</v>
      </c>
      <c r="D403" s="1">
        <v>45834</v>
      </c>
      <c r="E403" t="s">
        <v>34</v>
      </c>
      <c r="F403">
        <v>2</v>
      </c>
      <c r="G403" t="s">
        <v>1411</v>
      </c>
      <c r="H403" t="s">
        <v>1412</v>
      </c>
      <c r="I403">
        <v>249</v>
      </c>
      <c r="J403">
        <v>443</v>
      </c>
      <c r="K403">
        <v>4600000</v>
      </c>
      <c r="L403" t="s">
        <v>28</v>
      </c>
      <c r="M403">
        <v>4000000</v>
      </c>
      <c r="N403">
        <v>0</v>
      </c>
      <c r="O403" t="s">
        <v>103</v>
      </c>
      <c r="P403" t="s">
        <v>30</v>
      </c>
      <c r="Q403" t="s">
        <v>43</v>
      </c>
      <c r="R403" t="s">
        <v>24</v>
      </c>
      <c r="S403" t="s">
        <v>1394</v>
      </c>
      <c r="T403">
        <v>18473.895582329318</v>
      </c>
      <c r="U403">
        <v>10383.747178329571</v>
      </c>
      <c r="V403">
        <v>16064.25702811245</v>
      </c>
      <c r="W403">
        <v>9029.3453724604969</v>
      </c>
      <c r="X403">
        <f ca="1">IF(ISNUMBER(properties[[#This Row],[archivedDate]]),properties[[#This Row],[archivedDate]]-properties[[#This Row],[addedDate]],TODAY()-properties[[#This Row],[addedDate]])</f>
        <v>20</v>
      </c>
      <c r="Y403">
        <f ca="1">IF(ISNUMBER(properties[[#This Row],[archivedDate]]),properties[[#This Row],[archivedDate]]-properties[[#This Row],[addedDate]],TODAY()-properties[[#This Row],[addedDate]])</f>
        <v>20</v>
      </c>
    </row>
    <row r="404" spans="1:25" x14ac:dyDescent="0.25">
      <c r="A404" s="1">
        <v>45819</v>
      </c>
      <c r="B404" t="s">
        <v>1413</v>
      </c>
      <c r="C404" t="s">
        <v>24</v>
      </c>
      <c r="D404" s="1">
        <v>45917</v>
      </c>
      <c r="E404" t="s">
        <v>46</v>
      </c>
      <c r="F404">
        <v>2</v>
      </c>
      <c r="G404" t="s">
        <v>1414</v>
      </c>
      <c r="H404" t="s">
        <v>1415</v>
      </c>
      <c r="I404">
        <v>177</v>
      </c>
      <c r="J404">
        <v>319</v>
      </c>
      <c r="K404">
        <v>4000000</v>
      </c>
      <c r="L404" t="s">
        <v>28</v>
      </c>
      <c r="M404">
        <v>3995000</v>
      </c>
      <c r="N404">
        <v>0</v>
      </c>
      <c r="O404" t="s">
        <v>103</v>
      </c>
      <c r="P404" t="s">
        <v>297</v>
      </c>
      <c r="Q404" t="s">
        <v>43</v>
      </c>
      <c r="R404" t="s">
        <v>24</v>
      </c>
      <c r="S404" t="s">
        <v>1416</v>
      </c>
      <c r="T404">
        <v>22598.870056497177</v>
      </c>
      <c r="U404">
        <v>12539.184952978056</v>
      </c>
      <c r="V404">
        <v>22570.621468926554</v>
      </c>
      <c r="W404">
        <v>12523.510971786834</v>
      </c>
      <c r="X404">
        <f ca="1">IF(ISNUMBER(properties[[#This Row],[archivedDate]]),properties[[#This Row],[archivedDate]]-properties[[#This Row],[addedDate]],TODAY()-properties[[#This Row],[addedDate]])</f>
        <v>98</v>
      </c>
      <c r="Y404">
        <f ca="1">IF(ISNUMBER(properties[[#This Row],[archivedDate]]),properties[[#This Row],[archivedDate]]-properties[[#This Row],[addedDate]],TODAY()-properties[[#This Row],[addedDate]])</f>
        <v>98</v>
      </c>
    </row>
    <row r="405" spans="1:25" x14ac:dyDescent="0.25">
      <c r="A405" s="1">
        <v>45820</v>
      </c>
      <c r="B405" t="s">
        <v>1417</v>
      </c>
      <c r="C405" t="s">
        <v>24</v>
      </c>
      <c r="D405" s="1">
        <v>45876</v>
      </c>
      <c r="E405" t="s">
        <v>46</v>
      </c>
      <c r="F405">
        <v>3</v>
      </c>
      <c r="G405" t="s">
        <v>1418</v>
      </c>
      <c r="H405" t="s">
        <v>1400</v>
      </c>
      <c r="I405">
        <v>135</v>
      </c>
      <c r="J405">
        <v>298</v>
      </c>
      <c r="K405">
        <v>3800000</v>
      </c>
      <c r="L405" t="s">
        <v>28</v>
      </c>
      <c r="M405">
        <v>3995000</v>
      </c>
      <c r="N405">
        <v>0</v>
      </c>
      <c r="O405" t="s">
        <v>103</v>
      </c>
      <c r="P405" t="s">
        <v>30</v>
      </c>
      <c r="Q405" t="s">
        <v>43</v>
      </c>
      <c r="R405" t="s">
        <v>24</v>
      </c>
      <c r="S405" t="s">
        <v>1401</v>
      </c>
      <c r="T405">
        <v>28148.14814814815</v>
      </c>
      <c r="U405">
        <v>12751.677852348994</v>
      </c>
      <c r="V405">
        <v>29592.592592592591</v>
      </c>
      <c r="W405">
        <v>13406.040268456376</v>
      </c>
      <c r="X405">
        <f ca="1">IF(ISNUMBER(properties[[#This Row],[archivedDate]]),properties[[#This Row],[archivedDate]]-properties[[#This Row],[addedDate]],TODAY()-properties[[#This Row],[addedDate]])</f>
        <v>56</v>
      </c>
      <c r="Y405">
        <f ca="1">IF(ISNUMBER(properties[[#This Row],[archivedDate]]),properties[[#This Row],[archivedDate]]-properties[[#This Row],[addedDate]],TODAY()-properties[[#This Row],[addedDate]])</f>
        <v>56</v>
      </c>
    </row>
    <row r="406" spans="1:25" x14ac:dyDescent="0.25">
      <c r="A406" s="1">
        <v>45820</v>
      </c>
      <c r="B406" t="s">
        <v>1419</v>
      </c>
      <c r="C406" t="s">
        <v>24</v>
      </c>
      <c r="D406" s="1">
        <v>45834</v>
      </c>
      <c r="E406" t="s">
        <v>77</v>
      </c>
      <c r="F406">
        <v>2</v>
      </c>
      <c r="G406" t="s">
        <v>1420</v>
      </c>
      <c r="H406" t="s">
        <v>1421</v>
      </c>
      <c r="I406">
        <v>286</v>
      </c>
      <c r="J406">
        <v>1237</v>
      </c>
      <c r="K406">
        <v>3100000</v>
      </c>
      <c r="L406" t="s">
        <v>28</v>
      </c>
      <c r="M406">
        <v>3250000</v>
      </c>
      <c r="N406">
        <v>0</v>
      </c>
      <c r="O406" t="s">
        <v>103</v>
      </c>
      <c r="P406" t="s">
        <v>30</v>
      </c>
      <c r="Q406" t="s">
        <v>43</v>
      </c>
      <c r="R406" t="s">
        <v>24</v>
      </c>
      <c r="S406" t="s">
        <v>1405</v>
      </c>
      <c r="T406">
        <v>10839.160839160839</v>
      </c>
      <c r="U406">
        <v>2506.0630557801132</v>
      </c>
      <c r="V406">
        <v>11363.636363636364</v>
      </c>
      <c r="W406">
        <v>2627.3241713823768</v>
      </c>
      <c r="X406">
        <f ca="1">IF(ISNUMBER(properties[[#This Row],[archivedDate]]),properties[[#This Row],[archivedDate]]-properties[[#This Row],[addedDate]],TODAY()-properties[[#This Row],[addedDate]])</f>
        <v>14</v>
      </c>
      <c r="Y406">
        <f ca="1">IF(ISNUMBER(properties[[#This Row],[archivedDate]]),properties[[#This Row],[archivedDate]]-properties[[#This Row],[addedDate]],TODAY()-properties[[#This Row],[addedDate]])</f>
        <v>14</v>
      </c>
    </row>
    <row r="407" spans="1:25" x14ac:dyDescent="0.25">
      <c r="A407" s="1">
        <v>45825</v>
      </c>
      <c r="B407" t="s">
        <v>1422</v>
      </c>
      <c r="C407" t="s">
        <v>24</v>
      </c>
      <c r="D407" s="1">
        <v>45845</v>
      </c>
      <c r="E407" t="s">
        <v>1423</v>
      </c>
      <c r="F407">
        <v>3</v>
      </c>
      <c r="G407" t="s">
        <v>1424</v>
      </c>
      <c r="H407" t="s">
        <v>1425</v>
      </c>
      <c r="I407">
        <v>127</v>
      </c>
      <c r="J407">
        <v>125</v>
      </c>
      <c r="K407">
        <v>1795000</v>
      </c>
      <c r="L407" t="s">
        <v>28</v>
      </c>
      <c r="M407">
        <v>1795000</v>
      </c>
      <c r="N407">
        <v>0</v>
      </c>
      <c r="O407" t="s">
        <v>103</v>
      </c>
      <c r="P407" t="s">
        <v>30</v>
      </c>
      <c r="Q407" t="s">
        <v>43</v>
      </c>
      <c r="R407" t="s">
        <v>24</v>
      </c>
      <c r="S407" t="s">
        <v>1426</v>
      </c>
      <c r="T407">
        <v>14133.858267716536</v>
      </c>
      <c r="U407">
        <v>14360</v>
      </c>
      <c r="V407">
        <v>14133.858267716536</v>
      </c>
      <c r="W407">
        <v>14360</v>
      </c>
      <c r="X407">
        <f ca="1">IF(ISNUMBER(properties[[#This Row],[archivedDate]]),properties[[#This Row],[archivedDate]]-properties[[#This Row],[addedDate]],TODAY()-properties[[#This Row],[addedDate]])</f>
        <v>20</v>
      </c>
      <c r="Y407">
        <f ca="1">IF(ISNUMBER(properties[[#This Row],[archivedDate]]),properties[[#This Row],[archivedDate]]-properties[[#This Row],[addedDate]],TODAY()-properties[[#This Row],[addedDate]])</f>
        <v>20</v>
      </c>
    </row>
    <row r="408" spans="1:25" x14ac:dyDescent="0.25">
      <c r="A408" s="1">
        <v>45826</v>
      </c>
      <c r="B408" t="s">
        <v>1427</v>
      </c>
      <c r="C408" t="s">
        <v>24</v>
      </c>
      <c r="D408" s="1">
        <v>45834</v>
      </c>
      <c r="E408" t="s">
        <v>515</v>
      </c>
      <c r="F408">
        <v>3</v>
      </c>
      <c r="G408" t="s">
        <v>1428</v>
      </c>
      <c r="H408" t="s">
        <v>1429</v>
      </c>
      <c r="I408">
        <v>164</v>
      </c>
      <c r="J408">
        <v>518</v>
      </c>
      <c r="K408">
        <v>2400000</v>
      </c>
      <c r="L408" t="s">
        <v>28</v>
      </c>
      <c r="M408">
        <v>2395000</v>
      </c>
      <c r="N408">
        <v>0</v>
      </c>
      <c r="O408" t="s">
        <v>103</v>
      </c>
      <c r="P408" t="s">
        <v>30</v>
      </c>
      <c r="Q408" t="s">
        <v>43</v>
      </c>
      <c r="R408" t="s">
        <v>24</v>
      </c>
      <c r="S408" t="s">
        <v>1364</v>
      </c>
      <c r="T408">
        <v>14634.146341463415</v>
      </c>
      <c r="U408">
        <v>4633.204633204633</v>
      </c>
      <c r="V408">
        <v>14603.658536585366</v>
      </c>
      <c r="W408">
        <v>4623.5521235521237</v>
      </c>
      <c r="X408">
        <f ca="1">IF(ISNUMBER(properties[[#This Row],[archivedDate]]),properties[[#This Row],[archivedDate]]-properties[[#This Row],[addedDate]],TODAY()-properties[[#This Row],[addedDate]])</f>
        <v>8</v>
      </c>
      <c r="Y408">
        <f ca="1">IF(ISNUMBER(properties[[#This Row],[archivedDate]]),properties[[#This Row],[archivedDate]]-properties[[#This Row],[addedDate]],TODAY()-properties[[#This Row],[addedDate]])</f>
        <v>8</v>
      </c>
    </row>
    <row r="409" spans="1:25" x14ac:dyDescent="0.25">
      <c r="A409" s="1">
        <v>45827</v>
      </c>
      <c r="B409" t="s">
        <v>1430</v>
      </c>
      <c r="C409" t="s">
        <v>24</v>
      </c>
      <c r="D409" s="1">
        <v>45874</v>
      </c>
      <c r="E409" t="s">
        <v>34</v>
      </c>
      <c r="F409">
        <v>4</v>
      </c>
      <c r="G409" t="s">
        <v>1431</v>
      </c>
      <c r="H409" t="s">
        <v>1432</v>
      </c>
      <c r="I409">
        <v>150</v>
      </c>
      <c r="J409">
        <v>209</v>
      </c>
      <c r="K409">
        <v>2800000</v>
      </c>
      <c r="L409" t="s">
        <v>28</v>
      </c>
      <c r="M409">
        <v>2895000</v>
      </c>
      <c r="N409">
        <v>0</v>
      </c>
      <c r="O409" t="s">
        <v>103</v>
      </c>
      <c r="P409" t="s">
        <v>30</v>
      </c>
      <c r="Q409" t="s">
        <v>43</v>
      </c>
      <c r="R409" t="s">
        <v>24</v>
      </c>
      <c r="S409" t="s">
        <v>1433</v>
      </c>
      <c r="T409">
        <v>18666.666666666668</v>
      </c>
      <c r="U409">
        <v>13397.129186602871</v>
      </c>
      <c r="V409">
        <v>19300</v>
      </c>
      <c r="W409">
        <v>13851.674641148325</v>
      </c>
      <c r="X409">
        <f ca="1">IF(ISNUMBER(properties[[#This Row],[archivedDate]]),properties[[#This Row],[archivedDate]]-properties[[#This Row],[addedDate]],TODAY()-properties[[#This Row],[addedDate]])</f>
        <v>47</v>
      </c>
      <c r="Y409">
        <f ca="1">IF(ISNUMBER(properties[[#This Row],[archivedDate]]),properties[[#This Row],[archivedDate]]-properties[[#This Row],[addedDate]],TODAY()-properties[[#This Row],[addedDate]])</f>
        <v>47</v>
      </c>
    </row>
    <row r="410" spans="1:25" x14ac:dyDescent="0.25">
      <c r="A410" s="1">
        <v>45827</v>
      </c>
      <c r="B410" t="s">
        <v>1434</v>
      </c>
      <c r="C410" t="s">
        <v>24</v>
      </c>
      <c r="D410" s="1">
        <v>45845</v>
      </c>
      <c r="E410" t="s">
        <v>207</v>
      </c>
      <c r="F410">
        <v>2</v>
      </c>
      <c r="G410" t="s">
        <v>1435</v>
      </c>
      <c r="H410" t="s">
        <v>1436</v>
      </c>
      <c r="I410">
        <v>165</v>
      </c>
      <c r="J410">
        <v>802</v>
      </c>
      <c r="K410">
        <v>2400000</v>
      </c>
      <c r="L410" t="s">
        <v>28</v>
      </c>
      <c r="M410">
        <v>1845000</v>
      </c>
      <c r="N410">
        <v>0</v>
      </c>
      <c r="O410" t="s">
        <v>103</v>
      </c>
      <c r="P410" t="s">
        <v>30</v>
      </c>
      <c r="Q410" t="s">
        <v>43</v>
      </c>
      <c r="R410" t="s">
        <v>24</v>
      </c>
      <c r="S410" t="s">
        <v>314</v>
      </c>
      <c r="T410">
        <v>14545.454545454546</v>
      </c>
      <c r="U410">
        <v>2992.5187032418953</v>
      </c>
      <c r="V410">
        <v>11181.818181818182</v>
      </c>
      <c r="W410">
        <v>2300.4987531172069</v>
      </c>
      <c r="X410">
        <f ca="1">IF(ISNUMBER(properties[[#This Row],[archivedDate]]),properties[[#This Row],[archivedDate]]-properties[[#This Row],[addedDate]],TODAY()-properties[[#This Row],[addedDate]])</f>
        <v>18</v>
      </c>
      <c r="Y410">
        <f ca="1">IF(ISNUMBER(properties[[#This Row],[archivedDate]]),properties[[#This Row],[archivedDate]]-properties[[#This Row],[addedDate]],TODAY()-properties[[#This Row],[addedDate]])</f>
        <v>18</v>
      </c>
    </row>
    <row r="411" spans="1:25" x14ac:dyDescent="0.25">
      <c r="A411" s="1">
        <v>45831</v>
      </c>
      <c r="B411" t="s">
        <v>1437</v>
      </c>
      <c r="C411" t="s">
        <v>24</v>
      </c>
      <c r="D411" s="1">
        <v>45855</v>
      </c>
      <c r="E411" t="s">
        <v>316</v>
      </c>
      <c r="F411">
        <v>2</v>
      </c>
      <c r="G411" t="s">
        <v>1438</v>
      </c>
      <c r="H411" t="s">
        <v>1439</v>
      </c>
      <c r="I411">
        <v>174</v>
      </c>
      <c r="J411">
        <v>620</v>
      </c>
      <c r="K411">
        <v>2050000</v>
      </c>
      <c r="L411" t="s">
        <v>28</v>
      </c>
      <c r="M411">
        <v>1995000</v>
      </c>
      <c r="N411">
        <v>0</v>
      </c>
      <c r="O411" t="s">
        <v>103</v>
      </c>
      <c r="P411" t="s">
        <v>30</v>
      </c>
      <c r="Q411" t="s">
        <v>43</v>
      </c>
      <c r="R411" t="s">
        <v>24</v>
      </c>
      <c r="S411" t="s">
        <v>1440</v>
      </c>
      <c r="T411">
        <v>11781.6091954023</v>
      </c>
      <c r="U411">
        <v>3306.4516129032259</v>
      </c>
      <c r="V411">
        <v>11465.51724137931</v>
      </c>
      <c r="W411">
        <v>3217.7419354838707</v>
      </c>
      <c r="X411">
        <f ca="1">IF(ISNUMBER(properties[[#This Row],[archivedDate]]),properties[[#This Row],[archivedDate]]-properties[[#This Row],[addedDate]],TODAY()-properties[[#This Row],[addedDate]])</f>
        <v>24</v>
      </c>
      <c r="Y411">
        <f ca="1">IF(ISNUMBER(properties[[#This Row],[archivedDate]]),properties[[#This Row],[archivedDate]]-properties[[#This Row],[addedDate]],TODAY()-properties[[#This Row],[addedDate]])</f>
        <v>24</v>
      </c>
    </row>
    <row r="412" spans="1:25" x14ac:dyDescent="0.25">
      <c r="A412" s="1">
        <v>45832</v>
      </c>
      <c r="B412" t="s">
        <v>1441</v>
      </c>
      <c r="C412" t="s">
        <v>24</v>
      </c>
      <c r="D412" s="1">
        <v>45854</v>
      </c>
      <c r="E412" t="s">
        <v>484</v>
      </c>
      <c r="F412">
        <v>1</v>
      </c>
      <c r="G412" t="s">
        <v>1442</v>
      </c>
      <c r="H412" t="s">
        <v>1443</v>
      </c>
      <c r="I412">
        <v>84</v>
      </c>
      <c r="J412">
        <v>500</v>
      </c>
      <c r="K412">
        <v>1850000</v>
      </c>
      <c r="L412" t="s">
        <v>28</v>
      </c>
      <c r="M412">
        <v>1695000</v>
      </c>
      <c r="N412">
        <v>0</v>
      </c>
      <c r="O412" t="s">
        <v>103</v>
      </c>
      <c r="P412" t="s">
        <v>30</v>
      </c>
      <c r="Q412" t="s">
        <v>43</v>
      </c>
      <c r="R412" t="s">
        <v>24</v>
      </c>
      <c r="S412" t="s">
        <v>320</v>
      </c>
      <c r="T412">
        <v>22023.809523809523</v>
      </c>
      <c r="U412">
        <v>3700</v>
      </c>
      <c r="V412">
        <v>20178.571428571428</v>
      </c>
      <c r="W412">
        <v>3390</v>
      </c>
      <c r="X412">
        <f ca="1">IF(ISNUMBER(properties[[#This Row],[archivedDate]]),properties[[#This Row],[archivedDate]]-properties[[#This Row],[addedDate]],TODAY()-properties[[#This Row],[addedDate]])</f>
        <v>22</v>
      </c>
      <c r="Y412">
        <f ca="1">IF(ISNUMBER(properties[[#This Row],[archivedDate]]),properties[[#This Row],[archivedDate]]-properties[[#This Row],[addedDate]],TODAY()-properties[[#This Row],[addedDate]])</f>
        <v>22</v>
      </c>
    </row>
    <row r="413" spans="1:25" x14ac:dyDescent="0.25">
      <c r="A413" s="1">
        <v>45833</v>
      </c>
      <c r="B413" t="s">
        <v>1444</v>
      </c>
      <c r="C413" t="s">
        <v>24</v>
      </c>
      <c r="D413" s="1">
        <v>45874</v>
      </c>
      <c r="E413" t="s">
        <v>675</v>
      </c>
      <c r="F413">
        <v>2</v>
      </c>
      <c r="G413" t="s">
        <v>1445</v>
      </c>
      <c r="H413" t="s">
        <v>1446</v>
      </c>
      <c r="I413">
        <v>193</v>
      </c>
      <c r="J413">
        <v>665</v>
      </c>
      <c r="K413">
        <v>2995000</v>
      </c>
      <c r="L413" t="s">
        <v>28</v>
      </c>
      <c r="M413">
        <v>2895000</v>
      </c>
      <c r="N413">
        <v>0</v>
      </c>
      <c r="O413" t="s">
        <v>103</v>
      </c>
      <c r="P413" t="s">
        <v>30</v>
      </c>
      <c r="Q413" t="s">
        <v>43</v>
      </c>
      <c r="R413" t="s">
        <v>24</v>
      </c>
      <c r="S413" t="s">
        <v>1447</v>
      </c>
      <c r="T413">
        <v>15518.134715025906</v>
      </c>
      <c r="U413">
        <v>4503.7593984962405</v>
      </c>
      <c r="V413">
        <v>15000</v>
      </c>
      <c r="W413">
        <v>4353.3834586466164</v>
      </c>
      <c r="X413">
        <f ca="1">IF(ISNUMBER(properties[[#This Row],[archivedDate]]),properties[[#This Row],[archivedDate]]-properties[[#This Row],[addedDate]],TODAY()-properties[[#This Row],[addedDate]])</f>
        <v>41</v>
      </c>
      <c r="Y413">
        <f ca="1">IF(ISNUMBER(properties[[#This Row],[archivedDate]]),properties[[#This Row],[archivedDate]]-properties[[#This Row],[addedDate]],TODAY()-properties[[#This Row],[addedDate]])</f>
        <v>41</v>
      </c>
    </row>
    <row r="414" spans="1:25" x14ac:dyDescent="0.25">
      <c r="A414" s="1">
        <v>45840</v>
      </c>
      <c r="B414" t="s">
        <v>1448</v>
      </c>
      <c r="C414" t="s">
        <v>24</v>
      </c>
      <c r="D414" s="1">
        <v>45876</v>
      </c>
      <c r="E414" t="s">
        <v>501</v>
      </c>
      <c r="F414">
        <v>2</v>
      </c>
      <c r="G414" t="s">
        <v>1449</v>
      </c>
      <c r="H414" t="s">
        <v>1450</v>
      </c>
      <c r="I414">
        <v>234</v>
      </c>
      <c r="J414">
        <v>752</v>
      </c>
      <c r="K414">
        <v>2600000</v>
      </c>
      <c r="L414" t="s">
        <v>28</v>
      </c>
      <c r="M414">
        <v>2795000</v>
      </c>
      <c r="N414">
        <v>0</v>
      </c>
      <c r="O414" t="s">
        <v>103</v>
      </c>
      <c r="P414" t="s">
        <v>30</v>
      </c>
      <c r="Q414" t="s">
        <v>43</v>
      </c>
      <c r="R414" t="s">
        <v>24</v>
      </c>
      <c r="S414" t="s">
        <v>1394</v>
      </c>
      <c r="T414">
        <v>11111.111111111111</v>
      </c>
      <c r="U414">
        <v>3457.4468085106382</v>
      </c>
      <c r="V414">
        <v>11944.444444444445</v>
      </c>
      <c r="W414">
        <v>3716.755319148936</v>
      </c>
      <c r="X414">
        <f ca="1">IF(ISNUMBER(properties[[#This Row],[archivedDate]]),properties[[#This Row],[archivedDate]]-properties[[#This Row],[addedDate]],TODAY()-properties[[#This Row],[addedDate]])</f>
        <v>36</v>
      </c>
      <c r="Y414">
        <f ca="1">IF(ISNUMBER(properties[[#This Row],[archivedDate]]),properties[[#This Row],[archivedDate]]-properties[[#This Row],[addedDate]],TODAY()-properties[[#This Row],[addedDate]])</f>
        <v>36</v>
      </c>
    </row>
    <row r="415" spans="1:25" x14ac:dyDescent="0.25">
      <c r="A415" s="1">
        <v>45840</v>
      </c>
      <c r="B415" t="s">
        <v>1451</v>
      </c>
      <c r="C415" t="s">
        <v>24</v>
      </c>
      <c r="D415" s="1">
        <v>45845</v>
      </c>
      <c r="E415" t="s">
        <v>207</v>
      </c>
      <c r="F415">
        <v>3</v>
      </c>
      <c r="G415" t="s">
        <v>1452</v>
      </c>
      <c r="H415" t="s">
        <v>1453</v>
      </c>
      <c r="I415">
        <v>114</v>
      </c>
      <c r="J415">
        <v>115</v>
      </c>
      <c r="K415">
        <v>1445000</v>
      </c>
      <c r="L415" t="s">
        <v>28</v>
      </c>
      <c r="M415">
        <v>1445000</v>
      </c>
      <c r="N415">
        <v>0</v>
      </c>
      <c r="O415" t="s">
        <v>103</v>
      </c>
      <c r="P415" t="s">
        <v>30</v>
      </c>
      <c r="Q415" t="s">
        <v>43</v>
      </c>
      <c r="R415" t="s">
        <v>24</v>
      </c>
      <c r="S415" t="s">
        <v>1454</v>
      </c>
      <c r="T415">
        <v>12675.438596491229</v>
      </c>
      <c r="U415">
        <v>12565.217391304348</v>
      </c>
      <c r="V415">
        <v>12675.438596491229</v>
      </c>
      <c r="W415">
        <v>12565.217391304348</v>
      </c>
      <c r="X415">
        <f ca="1">IF(ISNUMBER(properties[[#This Row],[archivedDate]]),properties[[#This Row],[archivedDate]]-properties[[#This Row],[addedDate]],TODAY()-properties[[#This Row],[addedDate]])</f>
        <v>5</v>
      </c>
      <c r="Y415">
        <f ca="1">IF(ISNUMBER(properties[[#This Row],[archivedDate]]),properties[[#This Row],[archivedDate]]-properties[[#This Row],[addedDate]],TODAY()-properties[[#This Row],[addedDate]])</f>
        <v>5</v>
      </c>
    </row>
    <row r="416" spans="1:25" x14ac:dyDescent="0.25">
      <c r="A416" s="1">
        <v>45840</v>
      </c>
      <c r="B416" t="s">
        <v>1455</v>
      </c>
      <c r="C416" t="s">
        <v>24</v>
      </c>
      <c r="D416" s="1">
        <v>45862</v>
      </c>
      <c r="E416" t="s">
        <v>34</v>
      </c>
      <c r="F416">
        <v>3</v>
      </c>
      <c r="G416" t="s">
        <v>1456</v>
      </c>
      <c r="H416" t="s">
        <v>1457</v>
      </c>
      <c r="I416">
        <v>132</v>
      </c>
      <c r="J416">
        <v>135</v>
      </c>
      <c r="K416">
        <v>3700000</v>
      </c>
      <c r="L416" t="s">
        <v>28</v>
      </c>
      <c r="M416">
        <v>3195000</v>
      </c>
      <c r="N416">
        <v>0</v>
      </c>
      <c r="O416" t="s">
        <v>103</v>
      </c>
      <c r="P416" t="s">
        <v>30</v>
      </c>
      <c r="Q416" t="s">
        <v>43</v>
      </c>
      <c r="R416" t="s">
        <v>24</v>
      </c>
      <c r="S416" t="s">
        <v>1458</v>
      </c>
      <c r="T416">
        <v>28030.303030303032</v>
      </c>
      <c r="U416">
        <v>27407.407407407409</v>
      </c>
      <c r="V416">
        <v>24204.545454545456</v>
      </c>
      <c r="W416">
        <v>23666.666666666668</v>
      </c>
      <c r="X416">
        <f ca="1">IF(ISNUMBER(properties[[#This Row],[archivedDate]]),properties[[#This Row],[archivedDate]]-properties[[#This Row],[addedDate]],TODAY()-properties[[#This Row],[addedDate]])</f>
        <v>22</v>
      </c>
      <c r="Y416">
        <f ca="1">IF(ISNUMBER(properties[[#This Row],[archivedDate]]),properties[[#This Row],[archivedDate]]-properties[[#This Row],[addedDate]],TODAY()-properties[[#This Row],[addedDate]])</f>
        <v>22</v>
      </c>
    </row>
    <row r="417" spans="1:25" x14ac:dyDescent="0.25">
      <c r="A417" s="1">
        <v>45841</v>
      </c>
      <c r="B417" t="s">
        <v>1459</v>
      </c>
      <c r="C417" t="s">
        <v>24</v>
      </c>
      <c r="D417" s="1">
        <v>46038</v>
      </c>
      <c r="E417" t="s">
        <v>229</v>
      </c>
      <c r="F417">
        <v>2</v>
      </c>
      <c r="G417" t="s">
        <v>1460</v>
      </c>
      <c r="H417" t="s">
        <v>1461</v>
      </c>
      <c r="I417">
        <v>239</v>
      </c>
      <c r="J417">
        <v>897</v>
      </c>
      <c r="K417">
        <v>0</v>
      </c>
      <c r="L417" t="s">
        <v>28</v>
      </c>
      <c r="M417">
        <v>1495000</v>
      </c>
      <c r="N417">
        <v>0</v>
      </c>
      <c r="O417" t="s">
        <v>103</v>
      </c>
      <c r="P417" t="s">
        <v>30</v>
      </c>
      <c r="Q417" t="s">
        <v>43</v>
      </c>
      <c r="R417" t="s">
        <v>24</v>
      </c>
      <c r="S417" t="s">
        <v>1462</v>
      </c>
      <c r="V417">
        <v>6255.2301255230122</v>
      </c>
      <c r="W417">
        <v>1666.6666666666667</v>
      </c>
      <c r="X417">
        <f ca="1">IF(ISNUMBER(properties[[#This Row],[archivedDate]]),properties[[#This Row],[archivedDate]]-properties[[#This Row],[addedDate]],TODAY()-properties[[#This Row],[addedDate]])</f>
        <v>197</v>
      </c>
      <c r="Y417">
        <f ca="1">IF(ISNUMBER(properties[[#This Row],[archivedDate]]),properties[[#This Row],[archivedDate]]-properties[[#This Row],[addedDate]],TODAY()-properties[[#This Row],[addedDate]])</f>
        <v>197</v>
      </c>
    </row>
    <row r="418" spans="1:25" x14ac:dyDescent="0.25">
      <c r="A418" s="1">
        <v>45841</v>
      </c>
      <c r="B418" t="s">
        <v>1463</v>
      </c>
      <c r="C418" t="s">
        <v>24</v>
      </c>
      <c r="D418" s="1">
        <v>45936</v>
      </c>
      <c r="E418" t="s">
        <v>229</v>
      </c>
      <c r="F418">
        <v>3</v>
      </c>
      <c r="G418" t="s">
        <v>1464</v>
      </c>
      <c r="H418" t="s">
        <v>1465</v>
      </c>
      <c r="I418">
        <v>359</v>
      </c>
      <c r="J418">
        <v>3180</v>
      </c>
      <c r="K418">
        <v>2450000</v>
      </c>
      <c r="L418" t="s">
        <v>28</v>
      </c>
      <c r="M418">
        <v>2795000</v>
      </c>
      <c r="N418">
        <v>0</v>
      </c>
      <c r="O418" t="s">
        <v>103</v>
      </c>
      <c r="P418" t="s">
        <v>30</v>
      </c>
      <c r="Q418" t="s">
        <v>43</v>
      </c>
      <c r="R418" t="s">
        <v>24</v>
      </c>
      <c r="S418" t="s">
        <v>1339</v>
      </c>
      <c r="T418">
        <v>6824.5125348189413</v>
      </c>
      <c r="U418">
        <v>770.44025157232704</v>
      </c>
      <c r="V418">
        <v>7785.5153203342616</v>
      </c>
      <c r="W418">
        <v>878.93081761006295</v>
      </c>
      <c r="X418">
        <f ca="1">IF(ISNUMBER(properties[[#This Row],[archivedDate]]),properties[[#This Row],[archivedDate]]-properties[[#This Row],[addedDate]],TODAY()-properties[[#This Row],[addedDate]])</f>
        <v>95</v>
      </c>
      <c r="Y418">
        <f ca="1">IF(ISNUMBER(properties[[#This Row],[archivedDate]]),properties[[#This Row],[archivedDate]]-properties[[#This Row],[addedDate]],TODAY()-properties[[#This Row],[addedDate]])</f>
        <v>95</v>
      </c>
    </row>
    <row r="419" spans="1:25" x14ac:dyDescent="0.25">
      <c r="A419" s="1">
        <v>45845</v>
      </c>
      <c r="B419" t="s">
        <v>1466</v>
      </c>
      <c r="C419" t="s">
        <v>24</v>
      </c>
      <c r="D419" s="1">
        <v>45853</v>
      </c>
      <c r="E419" t="s">
        <v>34</v>
      </c>
      <c r="F419">
        <v>2</v>
      </c>
      <c r="G419" t="s">
        <v>1467</v>
      </c>
      <c r="H419" t="s">
        <v>1468</v>
      </c>
      <c r="I419">
        <v>168</v>
      </c>
      <c r="J419">
        <v>520</v>
      </c>
      <c r="K419">
        <v>4400000</v>
      </c>
      <c r="L419" t="s">
        <v>28</v>
      </c>
      <c r="M419">
        <v>4495000</v>
      </c>
      <c r="N419">
        <v>0</v>
      </c>
      <c r="O419" t="s">
        <v>103</v>
      </c>
      <c r="P419" t="s">
        <v>30</v>
      </c>
      <c r="Q419" t="s">
        <v>43</v>
      </c>
      <c r="R419" t="s">
        <v>24</v>
      </c>
      <c r="S419" t="s">
        <v>1469</v>
      </c>
      <c r="T419">
        <v>26190.476190476191</v>
      </c>
      <c r="U419">
        <v>8461.538461538461</v>
      </c>
      <c r="V419">
        <v>26755.952380952382</v>
      </c>
      <c r="W419">
        <v>8644.2307692307695</v>
      </c>
      <c r="X419">
        <f ca="1">IF(ISNUMBER(properties[[#This Row],[archivedDate]]),properties[[#This Row],[archivedDate]]-properties[[#This Row],[addedDate]],TODAY()-properties[[#This Row],[addedDate]])</f>
        <v>8</v>
      </c>
      <c r="Y419">
        <f ca="1">IF(ISNUMBER(properties[[#This Row],[archivedDate]]),properties[[#This Row],[archivedDate]]-properties[[#This Row],[addedDate]],TODAY()-properties[[#This Row],[addedDate]])</f>
        <v>8</v>
      </c>
    </row>
    <row r="420" spans="1:25" x14ac:dyDescent="0.25">
      <c r="A420" s="1">
        <v>45848</v>
      </c>
      <c r="B420" t="s">
        <v>1470</v>
      </c>
      <c r="C420" t="s">
        <v>24</v>
      </c>
      <c r="D420" s="1">
        <v>45869</v>
      </c>
      <c r="E420" t="s">
        <v>316</v>
      </c>
      <c r="F420">
        <v>2</v>
      </c>
      <c r="G420" t="s">
        <v>1471</v>
      </c>
      <c r="H420" t="s">
        <v>1472</v>
      </c>
      <c r="I420">
        <v>172</v>
      </c>
      <c r="J420">
        <v>380</v>
      </c>
      <c r="K420">
        <v>3200000</v>
      </c>
      <c r="L420" t="s">
        <v>28</v>
      </c>
      <c r="M420">
        <v>2995000</v>
      </c>
      <c r="N420">
        <v>0</v>
      </c>
      <c r="O420" t="s">
        <v>103</v>
      </c>
      <c r="P420" t="s">
        <v>30</v>
      </c>
      <c r="Q420" t="s">
        <v>43</v>
      </c>
      <c r="R420" t="s">
        <v>24</v>
      </c>
      <c r="S420" t="s">
        <v>1473</v>
      </c>
      <c r="T420">
        <v>18604.651162790698</v>
      </c>
      <c r="U420">
        <v>8421.0526315789466</v>
      </c>
      <c r="V420">
        <v>17412.79069767442</v>
      </c>
      <c r="W420">
        <v>7881.5789473684208</v>
      </c>
      <c r="X420">
        <f ca="1">IF(ISNUMBER(properties[[#This Row],[archivedDate]]),properties[[#This Row],[archivedDate]]-properties[[#This Row],[addedDate]],TODAY()-properties[[#This Row],[addedDate]])</f>
        <v>21</v>
      </c>
      <c r="Y420">
        <f ca="1">IF(ISNUMBER(properties[[#This Row],[archivedDate]]),properties[[#This Row],[archivedDate]]-properties[[#This Row],[addedDate]],TODAY()-properties[[#This Row],[addedDate]])</f>
        <v>21</v>
      </c>
    </row>
    <row r="421" spans="1:25" x14ac:dyDescent="0.25">
      <c r="A421" s="1">
        <v>45855</v>
      </c>
      <c r="B421" t="s">
        <v>1474</v>
      </c>
      <c r="C421" t="s">
        <v>24</v>
      </c>
      <c r="D421" s="1">
        <v>45882</v>
      </c>
      <c r="E421" t="s">
        <v>1475</v>
      </c>
      <c r="F421">
        <v>2</v>
      </c>
      <c r="G421" t="s">
        <v>1476</v>
      </c>
      <c r="H421" t="s">
        <v>1477</v>
      </c>
      <c r="I421">
        <v>170</v>
      </c>
      <c r="J421">
        <v>555</v>
      </c>
      <c r="K421">
        <v>750000</v>
      </c>
      <c r="L421" t="s">
        <v>28</v>
      </c>
      <c r="M421">
        <v>650000</v>
      </c>
      <c r="N421">
        <v>0</v>
      </c>
      <c r="O421" t="s">
        <v>103</v>
      </c>
      <c r="P421" t="s">
        <v>30</v>
      </c>
      <c r="Q421" t="s">
        <v>43</v>
      </c>
      <c r="R421" t="s">
        <v>24</v>
      </c>
      <c r="S421" t="s">
        <v>1478</v>
      </c>
      <c r="T421">
        <v>4411.7647058823532</v>
      </c>
      <c r="U421">
        <v>1351.3513513513512</v>
      </c>
      <c r="V421">
        <v>3823.5294117647059</v>
      </c>
      <c r="W421">
        <v>1171.1711711711712</v>
      </c>
      <c r="X421">
        <f ca="1">IF(ISNUMBER(properties[[#This Row],[archivedDate]]),properties[[#This Row],[archivedDate]]-properties[[#This Row],[addedDate]],TODAY()-properties[[#This Row],[addedDate]])</f>
        <v>27</v>
      </c>
      <c r="Y421">
        <f ca="1">IF(ISNUMBER(properties[[#This Row],[archivedDate]]),properties[[#This Row],[archivedDate]]-properties[[#This Row],[addedDate]],TODAY()-properties[[#This Row],[addedDate]])</f>
        <v>27</v>
      </c>
    </row>
    <row r="422" spans="1:25" x14ac:dyDescent="0.25">
      <c r="A422" s="1">
        <v>45860</v>
      </c>
      <c r="B422" t="s">
        <v>1479</v>
      </c>
      <c r="C422" t="s">
        <v>24</v>
      </c>
      <c r="D422" s="1">
        <v>45884</v>
      </c>
      <c r="E422" t="s">
        <v>1480</v>
      </c>
      <c r="F422">
        <v>3</v>
      </c>
      <c r="G422" t="s">
        <v>1481</v>
      </c>
      <c r="H422" t="s">
        <v>1482</v>
      </c>
      <c r="I422">
        <v>132</v>
      </c>
      <c r="J422">
        <v>1047</v>
      </c>
      <c r="K422">
        <v>850000</v>
      </c>
      <c r="L422" t="s">
        <v>28</v>
      </c>
      <c r="M422">
        <v>745000</v>
      </c>
      <c r="N422">
        <v>0</v>
      </c>
      <c r="O422" t="s">
        <v>103</v>
      </c>
      <c r="P422" t="s">
        <v>30</v>
      </c>
      <c r="Q422" t="s">
        <v>1483</v>
      </c>
      <c r="R422" t="s">
        <v>24</v>
      </c>
      <c r="S422" t="s">
        <v>1335</v>
      </c>
      <c r="T422">
        <v>6439.393939393939</v>
      </c>
      <c r="U422">
        <v>811.84336198662845</v>
      </c>
      <c r="V422">
        <v>5643.939393939394</v>
      </c>
      <c r="W422">
        <v>711.55682903533909</v>
      </c>
      <c r="X422">
        <f ca="1">IF(ISNUMBER(properties[[#This Row],[archivedDate]]),properties[[#This Row],[archivedDate]]-properties[[#This Row],[addedDate]],TODAY()-properties[[#This Row],[addedDate]])</f>
        <v>24</v>
      </c>
      <c r="Y422">
        <f ca="1">IF(ISNUMBER(properties[[#This Row],[archivedDate]]),properties[[#This Row],[archivedDate]]-properties[[#This Row],[addedDate]],TODAY()-properties[[#This Row],[addedDate]])</f>
        <v>24</v>
      </c>
    </row>
    <row r="423" spans="1:25" x14ac:dyDescent="0.25">
      <c r="A423" s="1">
        <v>45862</v>
      </c>
      <c r="B423" t="s">
        <v>1484</v>
      </c>
      <c r="C423" t="s">
        <v>24</v>
      </c>
      <c r="D423" s="1">
        <v>45937</v>
      </c>
      <c r="E423" t="s">
        <v>501</v>
      </c>
      <c r="F423">
        <v>3</v>
      </c>
      <c r="G423" t="s">
        <v>1485</v>
      </c>
      <c r="H423" t="s">
        <v>1486</v>
      </c>
      <c r="I423">
        <v>280</v>
      </c>
      <c r="J423">
        <v>918</v>
      </c>
      <c r="K423">
        <v>2995000</v>
      </c>
      <c r="L423" t="s">
        <v>28</v>
      </c>
      <c r="M423">
        <v>2995000</v>
      </c>
      <c r="N423">
        <v>0</v>
      </c>
      <c r="O423" t="s">
        <v>103</v>
      </c>
      <c r="P423" t="s">
        <v>30</v>
      </c>
      <c r="Q423" t="s">
        <v>43</v>
      </c>
      <c r="R423" t="s">
        <v>24</v>
      </c>
      <c r="S423" t="s">
        <v>1487</v>
      </c>
      <c r="T423">
        <v>10696.428571428571</v>
      </c>
      <c r="U423">
        <v>3262.5272331154683</v>
      </c>
      <c r="V423">
        <v>10696.428571428571</v>
      </c>
      <c r="W423">
        <v>3262.5272331154683</v>
      </c>
      <c r="X423">
        <f ca="1">IF(ISNUMBER(properties[[#This Row],[archivedDate]]),properties[[#This Row],[archivedDate]]-properties[[#This Row],[addedDate]],TODAY()-properties[[#This Row],[addedDate]])</f>
        <v>75</v>
      </c>
      <c r="Y423">
        <f ca="1">IF(ISNUMBER(properties[[#This Row],[archivedDate]]),properties[[#This Row],[archivedDate]]-properties[[#This Row],[addedDate]],TODAY()-properties[[#This Row],[addedDate]])</f>
        <v>75</v>
      </c>
    </row>
    <row r="424" spans="1:25" x14ac:dyDescent="0.25">
      <c r="A424" s="1">
        <v>45863</v>
      </c>
      <c r="B424" t="s">
        <v>1488</v>
      </c>
      <c r="C424" t="s">
        <v>24</v>
      </c>
      <c r="D424" s="1">
        <v>45975</v>
      </c>
      <c r="E424" t="s">
        <v>1133</v>
      </c>
      <c r="F424">
        <v>1</v>
      </c>
      <c r="G424" t="s">
        <v>1489</v>
      </c>
      <c r="H424" t="s">
        <v>1490</v>
      </c>
      <c r="I424">
        <v>82</v>
      </c>
      <c r="J424">
        <v>1104</v>
      </c>
      <c r="K424">
        <v>0</v>
      </c>
      <c r="L424" t="s">
        <v>28</v>
      </c>
      <c r="M424">
        <v>1098000</v>
      </c>
      <c r="N424">
        <v>0</v>
      </c>
      <c r="O424" t="s">
        <v>103</v>
      </c>
      <c r="P424" t="s">
        <v>108</v>
      </c>
      <c r="Q424" t="s">
        <v>43</v>
      </c>
      <c r="R424" t="s">
        <v>24</v>
      </c>
      <c r="S424" t="s">
        <v>1491</v>
      </c>
      <c r="V424">
        <v>13390.243902439024</v>
      </c>
      <c r="W424">
        <v>994.56521739130437</v>
      </c>
      <c r="X424">
        <f ca="1">IF(ISNUMBER(properties[[#This Row],[archivedDate]]),properties[[#This Row],[archivedDate]]-properties[[#This Row],[addedDate]],TODAY()-properties[[#This Row],[addedDate]])</f>
        <v>112</v>
      </c>
      <c r="Y424">
        <f ca="1">IF(ISNUMBER(properties[[#This Row],[archivedDate]]),properties[[#This Row],[archivedDate]]-properties[[#This Row],[addedDate]],TODAY()-properties[[#This Row],[addedDate]])</f>
        <v>112</v>
      </c>
    </row>
    <row r="425" spans="1:25" x14ac:dyDescent="0.25">
      <c r="A425" s="1">
        <v>45863</v>
      </c>
      <c r="B425" t="s">
        <v>1492</v>
      </c>
      <c r="C425" t="s">
        <v>24</v>
      </c>
      <c r="D425" s="1">
        <v>45975</v>
      </c>
      <c r="E425" t="s">
        <v>346</v>
      </c>
      <c r="F425">
        <v>1</v>
      </c>
      <c r="G425" t="s">
        <v>1493</v>
      </c>
      <c r="H425" t="s">
        <v>1494</v>
      </c>
      <c r="I425">
        <v>82</v>
      </c>
      <c r="J425">
        <v>5365</v>
      </c>
      <c r="K425">
        <v>0</v>
      </c>
      <c r="L425" t="s">
        <v>28</v>
      </c>
      <c r="M425">
        <v>1098000</v>
      </c>
      <c r="N425">
        <v>0</v>
      </c>
      <c r="O425" t="s">
        <v>103</v>
      </c>
      <c r="P425" t="s">
        <v>108</v>
      </c>
      <c r="Q425" t="s">
        <v>43</v>
      </c>
      <c r="R425" t="s">
        <v>24</v>
      </c>
      <c r="S425" t="s">
        <v>1495</v>
      </c>
      <c r="V425">
        <v>13390.243902439024</v>
      </c>
      <c r="W425">
        <v>204.65983224603914</v>
      </c>
      <c r="X425">
        <f ca="1">IF(ISNUMBER(properties[[#This Row],[archivedDate]]),properties[[#This Row],[archivedDate]]-properties[[#This Row],[addedDate]],TODAY()-properties[[#This Row],[addedDate]])</f>
        <v>112</v>
      </c>
      <c r="Y425">
        <f ca="1">IF(ISNUMBER(properties[[#This Row],[archivedDate]]),properties[[#This Row],[archivedDate]]-properties[[#This Row],[addedDate]],TODAY()-properties[[#This Row],[addedDate]])</f>
        <v>112</v>
      </c>
    </row>
    <row r="426" spans="1:25" x14ac:dyDescent="0.25">
      <c r="A426" s="1">
        <v>45869</v>
      </c>
      <c r="B426" t="s">
        <v>1496</v>
      </c>
      <c r="C426" t="s">
        <v>24</v>
      </c>
      <c r="D426" s="1">
        <v>45923</v>
      </c>
      <c r="E426" t="s">
        <v>752</v>
      </c>
      <c r="F426">
        <v>3</v>
      </c>
      <c r="G426" t="s">
        <v>1497</v>
      </c>
      <c r="H426" t="s">
        <v>1498</v>
      </c>
      <c r="I426">
        <v>172</v>
      </c>
      <c r="J426">
        <v>656</v>
      </c>
      <c r="K426">
        <v>2500000</v>
      </c>
      <c r="L426" t="s">
        <v>28</v>
      </c>
      <c r="M426">
        <v>2995000</v>
      </c>
      <c r="N426">
        <v>0</v>
      </c>
      <c r="O426" t="s">
        <v>103</v>
      </c>
      <c r="P426" t="s">
        <v>30</v>
      </c>
      <c r="Q426" t="s">
        <v>43</v>
      </c>
      <c r="R426" t="s">
        <v>24</v>
      </c>
      <c r="S426" t="s">
        <v>1499</v>
      </c>
      <c r="T426">
        <v>14534.883720930233</v>
      </c>
      <c r="U426">
        <v>3810.9756097560976</v>
      </c>
      <c r="V426">
        <v>17412.79069767442</v>
      </c>
      <c r="W426">
        <v>4565.5487804878048</v>
      </c>
      <c r="X426">
        <f ca="1">IF(ISNUMBER(properties[[#This Row],[archivedDate]]),properties[[#This Row],[archivedDate]]-properties[[#This Row],[addedDate]],TODAY()-properties[[#This Row],[addedDate]])</f>
        <v>54</v>
      </c>
      <c r="Y426">
        <f ca="1">IF(ISNUMBER(properties[[#This Row],[archivedDate]]),properties[[#This Row],[archivedDate]]-properties[[#This Row],[addedDate]],TODAY()-properties[[#This Row],[addedDate]])</f>
        <v>54</v>
      </c>
    </row>
    <row r="427" spans="1:25" x14ac:dyDescent="0.25">
      <c r="A427" s="1">
        <v>45869</v>
      </c>
      <c r="B427" t="s">
        <v>1500</v>
      </c>
      <c r="C427" t="s">
        <v>24</v>
      </c>
      <c r="D427" s="1">
        <v>45887</v>
      </c>
      <c r="E427" t="s">
        <v>34</v>
      </c>
      <c r="F427">
        <v>2</v>
      </c>
      <c r="G427" t="s">
        <v>1501</v>
      </c>
      <c r="H427" t="s">
        <v>1502</v>
      </c>
      <c r="I427">
        <v>202</v>
      </c>
      <c r="J427">
        <v>392</v>
      </c>
      <c r="K427">
        <v>4300000</v>
      </c>
      <c r="L427" t="s">
        <v>28</v>
      </c>
      <c r="M427">
        <v>3995000</v>
      </c>
      <c r="N427">
        <v>0</v>
      </c>
      <c r="O427" t="s">
        <v>103</v>
      </c>
      <c r="P427" t="s">
        <v>30</v>
      </c>
      <c r="Q427" t="s">
        <v>43</v>
      </c>
      <c r="R427" t="s">
        <v>24</v>
      </c>
      <c r="S427" t="s">
        <v>1503</v>
      </c>
      <c r="T427">
        <v>21287.128712871287</v>
      </c>
      <c r="U427">
        <v>10969.387755102041</v>
      </c>
      <c r="V427">
        <v>19777.227722772277</v>
      </c>
      <c r="W427">
        <v>10191.326530612245</v>
      </c>
      <c r="X427">
        <f ca="1">IF(ISNUMBER(properties[[#This Row],[archivedDate]]),properties[[#This Row],[archivedDate]]-properties[[#This Row],[addedDate]],TODAY()-properties[[#This Row],[addedDate]])</f>
        <v>18</v>
      </c>
      <c r="Y427">
        <f ca="1">IF(ISNUMBER(properties[[#This Row],[archivedDate]]),properties[[#This Row],[archivedDate]]-properties[[#This Row],[addedDate]],TODAY()-properties[[#This Row],[addedDate]])</f>
        <v>18</v>
      </c>
    </row>
    <row r="428" spans="1:25" x14ac:dyDescent="0.25">
      <c r="A428" s="1">
        <v>45887</v>
      </c>
      <c r="B428" t="s">
        <v>1504</v>
      </c>
      <c r="C428" t="s">
        <v>24</v>
      </c>
      <c r="D428" s="1">
        <v>45968</v>
      </c>
      <c r="E428" t="s">
        <v>316</v>
      </c>
      <c r="F428">
        <v>2</v>
      </c>
      <c r="G428" t="s">
        <v>1505</v>
      </c>
      <c r="H428" t="s">
        <v>1506</v>
      </c>
      <c r="I428">
        <v>90</v>
      </c>
      <c r="J428">
        <v>0</v>
      </c>
      <c r="K428">
        <v>2850000</v>
      </c>
      <c r="L428" t="s">
        <v>28</v>
      </c>
      <c r="M428">
        <v>3195000</v>
      </c>
      <c r="N428">
        <v>0</v>
      </c>
      <c r="O428" t="s">
        <v>103</v>
      </c>
      <c r="P428" t="s">
        <v>30</v>
      </c>
      <c r="Q428" t="s">
        <v>43</v>
      </c>
      <c r="R428" t="s">
        <v>24</v>
      </c>
      <c r="S428" t="s">
        <v>1507</v>
      </c>
      <c r="T428">
        <v>31666.666666666668</v>
      </c>
      <c r="V428">
        <v>35500</v>
      </c>
      <c r="X428">
        <f ca="1">IF(ISNUMBER(properties[[#This Row],[archivedDate]]),properties[[#This Row],[archivedDate]]-properties[[#This Row],[addedDate]],TODAY()-properties[[#This Row],[addedDate]])</f>
        <v>81</v>
      </c>
      <c r="Y428">
        <f ca="1">IF(ISNUMBER(properties[[#This Row],[archivedDate]]),properties[[#This Row],[archivedDate]]-properties[[#This Row],[addedDate]],TODAY()-properties[[#This Row],[addedDate]])</f>
        <v>81</v>
      </c>
    </row>
    <row r="429" spans="1:25" x14ac:dyDescent="0.25">
      <c r="A429" s="1">
        <v>45888</v>
      </c>
      <c r="B429" t="s">
        <v>1508</v>
      </c>
      <c r="C429" t="s">
        <v>24</v>
      </c>
      <c r="D429" s="1">
        <v>45911</v>
      </c>
      <c r="E429" t="s">
        <v>528</v>
      </c>
      <c r="F429">
        <v>3</v>
      </c>
      <c r="G429" t="s">
        <v>1509</v>
      </c>
      <c r="H429" t="s">
        <v>1510</v>
      </c>
      <c r="I429">
        <v>103</v>
      </c>
      <c r="J429">
        <v>542</v>
      </c>
      <c r="K429">
        <v>1500000</v>
      </c>
      <c r="L429" t="s">
        <v>28</v>
      </c>
      <c r="M429">
        <v>1250000</v>
      </c>
      <c r="N429">
        <v>0</v>
      </c>
      <c r="O429" t="s">
        <v>103</v>
      </c>
      <c r="P429" t="s">
        <v>30</v>
      </c>
      <c r="Q429" t="s">
        <v>43</v>
      </c>
      <c r="R429" t="s">
        <v>24</v>
      </c>
      <c r="S429" t="s">
        <v>1454</v>
      </c>
      <c r="T429">
        <v>14563.106796116504</v>
      </c>
      <c r="U429">
        <v>2767.5276752767527</v>
      </c>
      <c r="V429">
        <v>12135.922330097088</v>
      </c>
      <c r="W429">
        <v>2306.2730627306273</v>
      </c>
      <c r="X429">
        <f ca="1">IF(ISNUMBER(properties[[#This Row],[archivedDate]]),properties[[#This Row],[archivedDate]]-properties[[#This Row],[addedDate]],TODAY()-properties[[#This Row],[addedDate]])</f>
        <v>23</v>
      </c>
      <c r="Y429">
        <f ca="1">IF(ISNUMBER(properties[[#This Row],[archivedDate]]),properties[[#This Row],[archivedDate]]-properties[[#This Row],[addedDate]],TODAY()-properties[[#This Row],[addedDate]])</f>
        <v>23</v>
      </c>
    </row>
    <row r="430" spans="1:25" x14ac:dyDescent="0.25">
      <c r="A430" s="1">
        <v>45890</v>
      </c>
      <c r="B430" t="s">
        <v>1511</v>
      </c>
      <c r="C430" t="s">
        <v>24</v>
      </c>
      <c r="D430" s="1">
        <v>45912</v>
      </c>
      <c r="E430" t="s">
        <v>939</v>
      </c>
      <c r="F430">
        <v>3</v>
      </c>
      <c r="G430" t="s">
        <v>1512</v>
      </c>
      <c r="H430" t="s">
        <v>1513</v>
      </c>
      <c r="I430">
        <v>124</v>
      </c>
      <c r="J430">
        <v>237</v>
      </c>
      <c r="K430">
        <v>1995000</v>
      </c>
      <c r="L430" t="s">
        <v>28</v>
      </c>
      <c r="M430">
        <v>1995000</v>
      </c>
      <c r="N430">
        <v>0</v>
      </c>
      <c r="O430" t="s">
        <v>103</v>
      </c>
      <c r="P430" t="s">
        <v>30</v>
      </c>
      <c r="Q430" t="s">
        <v>43</v>
      </c>
      <c r="R430" t="s">
        <v>24</v>
      </c>
      <c r="S430" t="s">
        <v>1454</v>
      </c>
      <c r="T430">
        <v>16088.709677419354</v>
      </c>
      <c r="U430">
        <v>8417.7215189873423</v>
      </c>
      <c r="V430">
        <v>16088.709677419354</v>
      </c>
      <c r="W430">
        <v>8417.7215189873423</v>
      </c>
      <c r="X430">
        <f ca="1">IF(ISNUMBER(properties[[#This Row],[archivedDate]]),properties[[#This Row],[archivedDate]]-properties[[#This Row],[addedDate]],TODAY()-properties[[#This Row],[addedDate]])</f>
        <v>22</v>
      </c>
      <c r="Y430">
        <f ca="1">IF(ISNUMBER(properties[[#This Row],[archivedDate]]),properties[[#This Row],[archivedDate]]-properties[[#This Row],[addedDate]],TODAY()-properties[[#This Row],[addedDate]])</f>
        <v>22</v>
      </c>
    </row>
    <row r="431" spans="1:25" x14ac:dyDescent="0.25">
      <c r="A431" s="1">
        <v>45891</v>
      </c>
      <c r="B431" t="s">
        <v>1514</v>
      </c>
      <c r="C431" t="s">
        <v>24</v>
      </c>
      <c r="D431" s="1">
        <v>45909</v>
      </c>
      <c r="E431" t="s">
        <v>46</v>
      </c>
      <c r="F431">
        <v>1</v>
      </c>
      <c r="G431" t="s">
        <v>1515</v>
      </c>
      <c r="H431" t="s">
        <v>1516</v>
      </c>
      <c r="I431">
        <v>48</v>
      </c>
      <c r="J431">
        <v>0</v>
      </c>
      <c r="K431">
        <v>2495000</v>
      </c>
      <c r="L431" t="s">
        <v>28</v>
      </c>
      <c r="M431">
        <v>2495000</v>
      </c>
      <c r="N431">
        <v>0</v>
      </c>
      <c r="O431" t="s">
        <v>103</v>
      </c>
      <c r="P431" t="s">
        <v>108</v>
      </c>
      <c r="Q431" t="s">
        <v>43</v>
      </c>
      <c r="R431" t="s">
        <v>24</v>
      </c>
      <c r="S431" t="s">
        <v>1349</v>
      </c>
      <c r="T431">
        <v>51979.166666666664</v>
      </c>
      <c r="V431">
        <v>51979.166666666664</v>
      </c>
      <c r="X431">
        <f ca="1">IF(ISNUMBER(properties[[#This Row],[archivedDate]]),properties[[#This Row],[archivedDate]]-properties[[#This Row],[addedDate]],TODAY()-properties[[#This Row],[addedDate]])</f>
        <v>18</v>
      </c>
      <c r="Y431">
        <f ca="1">IF(ISNUMBER(properties[[#This Row],[archivedDate]]),properties[[#This Row],[archivedDate]]-properties[[#This Row],[addedDate]],TODAY()-properties[[#This Row],[addedDate]])</f>
        <v>18</v>
      </c>
    </row>
    <row r="432" spans="1:25" x14ac:dyDescent="0.25">
      <c r="A432" s="1">
        <v>45896</v>
      </c>
      <c r="B432" t="s">
        <v>1517</v>
      </c>
      <c r="C432" t="s">
        <v>24</v>
      </c>
      <c r="D432" s="1">
        <v>45937</v>
      </c>
      <c r="E432" t="s">
        <v>34</v>
      </c>
      <c r="F432">
        <v>3</v>
      </c>
      <c r="G432" t="s">
        <v>1518</v>
      </c>
      <c r="H432" t="s">
        <v>1519</v>
      </c>
      <c r="I432">
        <v>281</v>
      </c>
      <c r="J432">
        <v>560</v>
      </c>
      <c r="K432">
        <v>5100000</v>
      </c>
      <c r="L432" t="s">
        <v>28</v>
      </c>
      <c r="M432">
        <v>4995000</v>
      </c>
      <c r="N432">
        <v>0</v>
      </c>
      <c r="O432" t="s">
        <v>103</v>
      </c>
      <c r="P432" t="s">
        <v>30</v>
      </c>
      <c r="Q432" t="s">
        <v>43</v>
      </c>
      <c r="R432" t="s">
        <v>24</v>
      </c>
      <c r="S432" t="s">
        <v>1520</v>
      </c>
      <c r="T432">
        <v>18149.466192170818</v>
      </c>
      <c r="U432">
        <v>9107.1428571428569</v>
      </c>
      <c r="V432">
        <v>17775.800711743774</v>
      </c>
      <c r="W432">
        <v>8919.6428571428569</v>
      </c>
      <c r="X432">
        <f ca="1">IF(ISNUMBER(properties[[#This Row],[archivedDate]]),properties[[#This Row],[archivedDate]]-properties[[#This Row],[addedDate]],TODAY()-properties[[#This Row],[addedDate]])</f>
        <v>41</v>
      </c>
      <c r="Y432">
        <f ca="1">IF(ISNUMBER(properties[[#This Row],[archivedDate]]),properties[[#This Row],[archivedDate]]-properties[[#This Row],[addedDate]],TODAY()-properties[[#This Row],[addedDate]])</f>
        <v>41</v>
      </c>
    </row>
    <row r="433" spans="1:25" x14ac:dyDescent="0.25">
      <c r="A433" s="1">
        <v>45896</v>
      </c>
      <c r="B433" t="s">
        <v>1521</v>
      </c>
      <c r="C433" t="s">
        <v>24</v>
      </c>
      <c r="D433" s="1">
        <v>45917</v>
      </c>
      <c r="E433" t="s">
        <v>34</v>
      </c>
      <c r="F433">
        <v>3</v>
      </c>
      <c r="G433" t="s">
        <v>1522</v>
      </c>
      <c r="H433" t="s">
        <v>1523</v>
      </c>
      <c r="I433">
        <v>140</v>
      </c>
      <c r="J433">
        <v>138</v>
      </c>
      <c r="K433">
        <v>4200000</v>
      </c>
      <c r="L433" t="s">
        <v>28</v>
      </c>
      <c r="M433">
        <v>3495000</v>
      </c>
      <c r="N433">
        <v>0</v>
      </c>
      <c r="O433" t="s">
        <v>103</v>
      </c>
      <c r="P433" t="s">
        <v>108</v>
      </c>
      <c r="Q433" t="s">
        <v>43</v>
      </c>
      <c r="R433" t="s">
        <v>24</v>
      </c>
      <c r="S433" t="s">
        <v>1524</v>
      </c>
      <c r="T433">
        <v>30000</v>
      </c>
      <c r="U433">
        <v>30434.782608695652</v>
      </c>
      <c r="V433">
        <v>24964.285714285714</v>
      </c>
      <c r="W433">
        <v>25326.08695652174</v>
      </c>
      <c r="X433">
        <f ca="1">IF(ISNUMBER(properties[[#This Row],[archivedDate]]),properties[[#This Row],[archivedDate]]-properties[[#This Row],[addedDate]],TODAY()-properties[[#This Row],[addedDate]])</f>
        <v>21</v>
      </c>
      <c r="Y433">
        <f ca="1">IF(ISNUMBER(properties[[#This Row],[archivedDate]]),properties[[#This Row],[archivedDate]]-properties[[#This Row],[addedDate]],TODAY()-properties[[#This Row],[addedDate]])</f>
        <v>21</v>
      </c>
    </row>
    <row r="434" spans="1:25" x14ac:dyDescent="0.25">
      <c r="A434" s="1">
        <v>45897</v>
      </c>
      <c r="B434" t="s">
        <v>1525</v>
      </c>
      <c r="C434" t="s">
        <v>24</v>
      </c>
      <c r="D434" s="1">
        <v>45897</v>
      </c>
      <c r="E434" t="s">
        <v>34</v>
      </c>
      <c r="F434">
        <v>0</v>
      </c>
      <c r="G434" t="s">
        <v>1526</v>
      </c>
      <c r="H434" t="s">
        <v>1527</v>
      </c>
      <c r="I434">
        <v>0</v>
      </c>
      <c r="J434">
        <v>508</v>
      </c>
      <c r="K434">
        <v>0</v>
      </c>
      <c r="L434" t="s">
        <v>28</v>
      </c>
      <c r="M434">
        <v>1895000</v>
      </c>
      <c r="N434">
        <v>0</v>
      </c>
      <c r="O434" t="s">
        <v>103</v>
      </c>
      <c r="P434" t="s">
        <v>98</v>
      </c>
      <c r="Q434" t="s">
        <v>43</v>
      </c>
      <c r="R434" t="s">
        <v>24</v>
      </c>
      <c r="S434" t="s">
        <v>43</v>
      </c>
      <c r="W434">
        <v>3730.3149606299212</v>
      </c>
      <c r="X434">
        <f ca="1">IF(ISNUMBER(properties[[#This Row],[archivedDate]]),properties[[#This Row],[archivedDate]]-properties[[#This Row],[addedDate]],TODAY()-properties[[#This Row],[addedDate]])</f>
        <v>0</v>
      </c>
      <c r="Y434">
        <f ca="1">IF(ISNUMBER(properties[[#This Row],[archivedDate]]),properties[[#This Row],[archivedDate]]-properties[[#This Row],[addedDate]],TODAY()-properties[[#This Row],[addedDate]])</f>
        <v>0</v>
      </c>
    </row>
    <row r="435" spans="1:25" x14ac:dyDescent="0.25">
      <c r="A435" s="1">
        <v>45903</v>
      </c>
      <c r="B435" t="s">
        <v>1528</v>
      </c>
      <c r="C435" t="s">
        <v>24</v>
      </c>
      <c r="D435" s="1">
        <v>45937</v>
      </c>
      <c r="E435" t="s">
        <v>52</v>
      </c>
      <c r="F435">
        <v>1</v>
      </c>
      <c r="G435" t="s">
        <v>1529</v>
      </c>
      <c r="H435" t="s">
        <v>1530</v>
      </c>
      <c r="I435">
        <v>74</v>
      </c>
      <c r="J435">
        <v>0</v>
      </c>
      <c r="K435">
        <v>0</v>
      </c>
      <c r="L435" t="s">
        <v>28</v>
      </c>
      <c r="M435">
        <v>1450000</v>
      </c>
      <c r="N435">
        <v>0</v>
      </c>
      <c r="O435" t="s">
        <v>103</v>
      </c>
      <c r="P435" t="s">
        <v>75</v>
      </c>
      <c r="Q435" t="s">
        <v>43</v>
      </c>
      <c r="R435" t="s">
        <v>24</v>
      </c>
      <c r="S435" t="s">
        <v>1491</v>
      </c>
      <c r="V435">
        <v>19594.594594594593</v>
      </c>
      <c r="X435">
        <f ca="1">IF(ISNUMBER(properties[[#This Row],[archivedDate]]),properties[[#This Row],[archivedDate]]-properties[[#This Row],[addedDate]],TODAY()-properties[[#This Row],[addedDate]])</f>
        <v>34</v>
      </c>
      <c r="Y435">
        <f ca="1">IF(ISNUMBER(properties[[#This Row],[archivedDate]]),properties[[#This Row],[archivedDate]]-properties[[#This Row],[addedDate]],TODAY()-properties[[#This Row],[addedDate]])</f>
        <v>34</v>
      </c>
    </row>
    <row r="436" spans="1:25" x14ac:dyDescent="0.25">
      <c r="A436" s="1">
        <v>45911</v>
      </c>
      <c r="B436" t="s">
        <v>1531</v>
      </c>
      <c r="C436" t="s">
        <v>24</v>
      </c>
      <c r="D436" s="1">
        <v>45937</v>
      </c>
      <c r="E436" t="s">
        <v>34</v>
      </c>
      <c r="F436">
        <v>2</v>
      </c>
      <c r="G436" t="s">
        <v>1532</v>
      </c>
      <c r="H436" t="s">
        <v>1533</v>
      </c>
      <c r="I436">
        <v>260</v>
      </c>
      <c r="J436">
        <v>1278</v>
      </c>
      <c r="K436">
        <v>6200000</v>
      </c>
      <c r="L436" t="s">
        <v>28</v>
      </c>
      <c r="M436">
        <v>5495000</v>
      </c>
      <c r="N436">
        <v>0</v>
      </c>
      <c r="O436" t="s">
        <v>103</v>
      </c>
      <c r="P436" t="s">
        <v>30</v>
      </c>
      <c r="Q436" t="s">
        <v>43</v>
      </c>
      <c r="R436" t="s">
        <v>24</v>
      </c>
      <c r="S436" t="s">
        <v>1534</v>
      </c>
      <c r="T436">
        <v>23846.153846153848</v>
      </c>
      <c r="U436">
        <v>4851.3302034428798</v>
      </c>
      <c r="V436">
        <v>21134.615384615383</v>
      </c>
      <c r="W436">
        <v>4299.6870109546162</v>
      </c>
      <c r="X436">
        <f ca="1">IF(ISNUMBER(properties[[#This Row],[archivedDate]]),properties[[#This Row],[archivedDate]]-properties[[#This Row],[addedDate]],TODAY()-properties[[#This Row],[addedDate]])</f>
        <v>26</v>
      </c>
      <c r="Y436">
        <f ca="1">IF(ISNUMBER(properties[[#This Row],[archivedDate]]),properties[[#This Row],[archivedDate]]-properties[[#This Row],[addedDate]],TODAY()-properties[[#This Row],[addedDate]])</f>
        <v>26</v>
      </c>
    </row>
    <row r="437" spans="1:25" x14ac:dyDescent="0.25">
      <c r="A437" s="1">
        <v>45916</v>
      </c>
      <c r="B437" t="s">
        <v>1535</v>
      </c>
      <c r="C437" t="s">
        <v>24</v>
      </c>
      <c r="D437" s="1">
        <v>45971</v>
      </c>
      <c r="E437" t="s">
        <v>515</v>
      </c>
      <c r="F437">
        <v>1</v>
      </c>
      <c r="G437" t="s">
        <v>1536</v>
      </c>
      <c r="H437" t="s">
        <v>1537</v>
      </c>
      <c r="I437">
        <v>125</v>
      </c>
      <c r="J437">
        <v>505</v>
      </c>
      <c r="K437">
        <v>2600000</v>
      </c>
      <c r="L437" t="s">
        <v>28</v>
      </c>
      <c r="M437">
        <v>2295000</v>
      </c>
      <c r="N437">
        <v>0</v>
      </c>
      <c r="O437" t="s">
        <v>103</v>
      </c>
      <c r="P437" t="s">
        <v>30</v>
      </c>
      <c r="Q437" t="s">
        <v>43</v>
      </c>
      <c r="R437" t="s">
        <v>24</v>
      </c>
      <c r="S437" t="s">
        <v>1538</v>
      </c>
      <c r="T437">
        <v>20800</v>
      </c>
      <c r="U437">
        <v>5148.5148514851489</v>
      </c>
      <c r="V437">
        <v>18360</v>
      </c>
      <c r="W437">
        <v>4544.5544554455446</v>
      </c>
      <c r="X437">
        <f ca="1">IF(ISNUMBER(properties[[#This Row],[archivedDate]]),properties[[#This Row],[archivedDate]]-properties[[#This Row],[addedDate]],TODAY()-properties[[#This Row],[addedDate]])</f>
        <v>55</v>
      </c>
      <c r="Y437">
        <f ca="1">IF(ISNUMBER(properties[[#This Row],[archivedDate]]),properties[[#This Row],[archivedDate]]-properties[[#This Row],[addedDate]],TODAY()-properties[[#This Row],[addedDate]])</f>
        <v>55</v>
      </c>
    </row>
    <row r="438" spans="1:25" x14ac:dyDescent="0.25">
      <c r="A438" s="1">
        <v>45926</v>
      </c>
      <c r="B438" t="s">
        <v>1539</v>
      </c>
      <c r="C438" t="s">
        <v>24</v>
      </c>
      <c r="D438" s="1"/>
      <c r="E438" t="s">
        <v>196</v>
      </c>
      <c r="F438">
        <v>0</v>
      </c>
      <c r="G438" t="s">
        <v>1540</v>
      </c>
      <c r="H438" t="s">
        <v>1541</v>
      </c>
      <c r="I438">
        <v>0</v>
      </c>
      <c r="J438">
        <v>844</v>
      </c>
      <c r="K438">
        <v>0</v>
      </c>
      <c r="L438" t="s">
        <v>28</v>
      </c>
      <c r="M438">
        <v>180000</v>
      </c>
      <c r="N438">
        <v>0</v>
      </c>
      <c r="O438" t="s">
        <v>29</v>
      </c>
      <c r="P438" t="s">
        <v>98</v>
      </c>
      <c r="Q438" t="s">
        <v>43</v>
      </c>
      <c r="R438" t="s">
        <v>24</v>
      </c>
      <c r="S438" t="s">
        <v>43</v>
      </c>
      <c r="W438">
        <v>213.27014218009478</v>
      </c>
      <c r="X438">
        <f ca="1">IF(ISNUMBER(properties[[#This Row],[archivedDate]]),properties[[#This Row],[archivedDate]]-properties[[#This Row],[addedDate]],TODAY()-properties[[#This Row],[addedDate]])</f>
        <v>193</v>
      </c>
      <c r="Y438">
        <f ca="1">IF(ISNUMBER(properties[[#This Row],[archivedDate]]),properties[[#This Row],[archivedDate]]-properties[[#This Row],[addedDate]],TODAY()-properties[[#This Row],[addedDate]])</f>
        <v>193</v>
      </c>
    </row>
    <row r="439" spans="1:25" x14ac:dyDescent="0.25">
      <c r="A439" s="1">
        <v>45936</v>
      </c>
      <c r="B439" t="s">
        <v>1542</v>
      </c>
      <c r="C439" t="s">
        <v>24</v>
      </c>
      <c r="D439" s="1">
        <v>45995</v>
      </c>
      <c r="E439" t="s">
        <v>63</v>
      </c>
      <c r="F439">
        <v>3</v>
      </c>
      <c r="G439" t="s">
        <v>1543</v>
      </c>
      <c r="H439" t="s">
        <v>1544</v>
      </c>
      <c r="I439">
        <v>168</v>
      </c>
      <c r="J439">
        <v>680</v>
      </c>
      <c r="K439">
        <v>1750000</v>
      </c>
      <c r="L439" t="s">
        <v>28</v>
      </c>
      <c r="M439">
        <v>1995000</v>
      </c>
      <c r="N439">
        <v>0</v>
      </c>
      <c r="O439" t="s">
        <v>103</v>
      </c>
      <c r="P439" t="s">
        <v>30</v>
      </c>
      <c r="Q439" t="s">
        <v>43</v>
      </c>
      <c r="R439" t="s">
        <v>24</v>
      </c>
      <c r="S439" t="s">
        <v>1545</v>
      </c>
      <c r="T439">
        <v>10416.666666666666</v>
      </c>
      <c r="U439">
        <v>2573.5294117647059</v>
      </c>
      <c r="V439">
        <v>11875</v>
      </c>
      <c r="W439">
        <v>2933.8235294117649</v>
      </c>
      <c r="X439">
        <f ca="1">IF(ISNUMBER(properties[[#This Row],[archivedDate]]),properties[[#This Row],[archivedDate]]-properties[[#This Row],[addedDate]],TODAY()-properties[[#This Row],[addedDate]])</f>
        <v>59</v>
      </c>
      <c r="Y439">
        <f ca="1">IF(ISNUMBER(properties[[#This Row],[archivedDate]]),properties[[#This Row],[archivedDate]]-properties[[#This Row],[addedDate]],TODAY()-properties[[#This Row],[addedDate]])</f>
        <v>59</v>
      </c>
    </row>
    <row r="440" spans="1:25" x14ac:dyDescent="0.25">
      <c r="A440" s="1">
        <v>45938</v>
      </c>
      <c r="B440" t="s">
        <v>1546</v>
      </c>
      <c r="C440" t="s">
        <v>24</v>
      </c>
      <c r="D440" s="1">
        <v>46080</v>
      </c>
      <c r="E440" t="s">
        <v>52</v>
      </c>
      <c r="F440">
        <v>1</v>
      </c>
      <c r="G440" t="s">
        <v>1547</v>
      </c>
      <c r="H440" t="s">
        <v>1530</v>
      </c>
      <c r="I440">
        <v>74</v>
      </c>
      <c r="J440">
        <v>0</v>
      </c>
      <c r="K440">
        <v>0</v>
      </c>
      <c r="L440" t="s">
        <v>28</v>
      </c>
      <c r="M440">
        <v>1450000</v>
      </c>
      <c r="N440">
        <v>0</v>
      </c>
      <c r="O440" t="s">
        <v>103</v>
      </c>
      <c r="P440" t="s">
        <v>75</v>
      </c>
      <c r="Q440" t="s">
        <v>43</v>
      </c>
      <c r="R440" t="s">
        <v>24</v>
      </c>
      <c r="S440" t="s">
        <v>1491</v>
      </c>
      <c r="V440">
        <v>19594.594594594593</v>
      </c>
      <c r="X440">
        <f ca="1">IF(ISNUMBER(properties[[#This Row],[archivedDate]]),properties[[#This Row],[archivedDate]]-properties[[#This Row],[addedDate]],TODAY()-properties[[#This Row],[addedDate]])</f>
        <v>142</v>
      </c>
      <c r="Y440">
        <f ca="1">IF(ISNUMBER(properties[[#This Row],[archivedDate]]),properties[[#This Row],[archivedDate]]-properties[[#This Row],[addedDate]],TODAY()-properties[[#This Row],[addedDate]])</f>
        <v>142</v>
      </c>
    </row>
    <row r="441" spans="1:25" x14ac:dyDescent="0.25">
      <c r="A441" s="1">
        <v>45938</v>
      </c>
      <c r="B441" t="s">
        <v>1548</v>
      </c>
      <c r="C441" t="s">
        <v>24</v>
      </c>
      <c r="D441" s="1">
        <v>45973</v>
      </c>
      <c r="E441" t="s">
        <v>52</v>
      </c>
      <c r="F441">
        <v>1</v>
      </c>
      <c r="G441" t="s">
        <v>1549</v>
      </c>
      <c r="H441" t="s">
        <v>1530</v>
      </c>
      <c r="I441">
        <v>74</v>
      </c>
      <c r="J441">
        <v>0</v>
      </c>
      <c r="K441">
        <v>0</v>
      </c>
      <c r="L441" t="s">
        <v>28</v>
      </c>
      <c r="M441">
        <v>1450000</v>
      </c>
      <c r="N441">
        <v>0</v>
      </c>
      <c r="O441" t="s">
        <v>103</v>
      </c>
      <c r="P441" t="s">
        <v>75</v>
      </c>
      <c r="Q441" t="s">
        <v>43</v>
      </c>
      <c r="R441" t="s">
        <v>24</v>
      </c>
      <c r="S441" t="s">
        <v>1491</v>
      </c>
      <c r="V441">
        <v>19594.594594594593</v>
      </c>
      <c r="X441">
        <f ca="1">IF(ISNUMBER(properties[[#This Row],[archivedDate]]),properties[[#This Row],[archivedDate]]-properties[[#This Row],[addedDate]],TODAY()-properties[[#This Row],[addedDate]])</f>
        <v>35</v>
      </c>
      <c r="Y441">
        <f ca="1">IF(ISNUMBER(properties[[#This Row],[archivedDate]]),properties[[#This Row],[archivedDate]]-properties[[#This Row],[addedDate]],TODAY()-properties[[#This Row],[addedDate]])</f>
        <v>35</v>
      </c>
    </row>
    <row r="442" spans="1:25" x14ac:dyDescent="0.25">
      <c r="A442" s="1">
        <v>45940</v>
      </c>
      <c r="B442" t="s">
        <v>1550</v>
      </c>
      <c r="C442" t="s">
        <v>24</v>
      </c>
      <c r="D442" s="1">
        <v>45959</v>
      </c>
      <c r="E442" t="s">
        <v>77</v>
      </c>
      <c r="F442">
        <v>2</v>
      </c>
      <c r="G442" t="s">
        <v>1551</v>
      </c>
      <c r="H442" t="s">
        <v>1552</v>
      </c>
      <c r="I442">
        <v>255</v>
      </c>
      <c r="J442">
        <v>584</v>
      </c>
      <c r="K442">
        <v>3300000</v>
      </c>
      <c r="L442" t="s">
        <v>28</v>
      </c>
      <c r="M442">
        <v>2845000</v>
      </c>
      <c r="N442">
        <v>0</v>
      </c>
      <c r="O442" t="s">
        <v>103</v>
      </c>
      <c r="P442" t="s">
        <v>30</v>
      </c>
      <c r="Q442" t="s">
        <v>1553</v>
      </c>
      <c r="R442" t="s">
        <v>24</v>
      </c>
      <c r="S442" t="s">
        <v>1405</v>
      </c>
      <c r="T442">
        <v>12941.176470588236</v>
      </c>
      <c r="U442">
        <v>5650.6849315068494</v>
      </c>
      <c r="V442">
        <v>11156.862745098038</v>
      </c>
      <c r="W442">
        <v>4871.5753424657532</v>
      </c>
      <c r="X442">
        <f ca="1">IF(ISNUMBER(properties[[#This Row],[archivedDate]]),properties[[#This Row],[archivedDate]]-properties[[#This Row],[addedDate]],TODAY()-properties[[#This Row],[addedDate]])</f>
        <v>19</v>
      </c>
      <c r="Y442">
        <f ca="1">IF(ISNUMBER(properties[[#This Row],[archivedDate]]),properties[[#This Row],[archivedDate]]-properties[[#This Row],[addedDate]],TODAY()-properties[[#This Row],[addedDate]])</f>
        <v>19</v>
      </c>
    </row>
    <row r="443" spans="1:25" x14ac:dyDescent="0.25">
      <c r="A443" s="1">
        <v>45943</v>
      </c>
      <c r="B443" t="s">
        <v>1554</v>
      </c>
      <c r="C443" t="s">
        <v>24</v>
      </c>
      <c r="D443" s="1">
        <v>45967</v>
      </c>
      <c r="E443" t="s">
        <v>215</v>
      </c>
      <c r="F443">
        <v>1</v>
      </c>
      <c r="G443" t="s">
        <v>1555</v>
      </c>
      <c r="H443" t="s">
        <v>1556</v>
      </c>
      <c r="I443">
        <v>105</v>
      </c>
      <c r="J443">
        <v>0</v>
      </c>
      <c r="K443">
        <v>0</v>
      </c>
      <c r="L443" t="s">
        <v>28</v>
      </c>
      <c r="M443">
        <v>3995000</v>
      </c>
      <c r="N443">
        <v>0</v>
      </c>
      <c r="O443" t="s">
        <v>103</v>
      </c>
      <c r="P443" t="s">
        <v>75</v>
      </c>
      <c r="Q443" t="s">
        <v>43</v>
      </c>
      <c r="R443" t="s">
        <v>24</v>
      </c>
      <c r="S443" t="s">
        <v>1349</v>
      </c>
      <c r="V443">
        <v>38047.619047619046</v>
      </c>
      <c r="X443">
        <f ca="1">IF(ISNUMBER(properties[[#This Row],[archivedDate]]),properties[[#This Row],[archivedDate]]-properties[[#This Row],[addedDate]],TODAY()-properties[[#This Row],[addedDate]])</f>
        <v>24</v>
      </c>
      <c r="Y443">
        <f ca="1">IF(ISNUMBER(properties[[#This Row],[archivedDate]]),properties[[#This Row],[archivedDate]]-properties[[#This Row],[addedDate]],TODAY()-properties[[#This Row],[addedDate]])</f>
        <v>24</v>
      </c>
    </row>
    <row r="444" spans="1:25" x14ac:dyDescent="0.25">
      <c r="A444" s="1">
        <v>45947</v>
      </c>
      <c r="B444" t="s">
        <v>1557</v>
      </c>
      <c r="C444" t="s">
        <v>24</v>
      </c>
      <c r="D444" s="1"/>
      <c r="E444" t="s">
        <v>358</v>
      </c>
      <c r="F444">
        <v>0</v>
      </c>
      <c r="G444" t="s">
        <v>1558</v>
      </c>
      <c r="H444" t="s">
        <v>1559</v>
      </c>
      <c r="I444">
        <v>0</v>
      </c>
      <c r="J444">
        <v>16256</v>
      </c>
      <c r="K444">
        <v>0</v>
      </c>
      <c r="L444" t="s">
        <v>28</v>
      </c>
      <c r="M444">
        <v>150000</v>
      </c>
      <c r="N444">
        <v>0</v>
      </c>
      <c r="O444" t="s">
        <v>29</v>
      </c>
      <c r="P444" t="s">
        <v>194</v>
      </c>
      <c r="Q444" t="s">
        <v>43</v>
      </c>
      <c r="R444" t="s">
        <v>24</v>
      </c>
      <c r="S444" t="s">
        <v>43</v>
      </c>
      <c r="W444">
        <v>9.2273622047244093</v>
      </c>
      <c r="X444">
        <f ca="1">IF(ISNUMBER(properties[[#This Row],[archivedDate]]),properties[[#This Row],[archivedDate]]-properties[[#This Row],[addedDate]],TODAY()-properties[[#This Row],[addedDate]])</f>
        <v>172</v>
      </c>
      <c r="Y444">
        <f ca="1">IF(ISNUMBER(properties[[#This Row],[archivedDate]]),properties[[#This Row],[archivedDate]]-properties[[#This Row],[addedDate]],TODAY()-properties[[#This Row],[addedDate]])</f>
        <v>172</v>
      </c>
    </row>
    <row r="445" spans="1:25" x14ac:dyDescent="0.25">
      <c r="A445" s="1">
        <v>45952</v>
      </c>
      <c r="B445" t="s">
        <v>1560</v>
      </c>
      <c r="C445" t="s">
        <v>24</v>
      </c>
      <c r="D445" s="1">
        <v>45978</v>
      </c>
      <c r="E445" t="s">
        <v>34</v>
      </c>
      <c r="F445">
        <v>3</v>
      </c>
      <c r="G445" t="s">
        <v>1561</v>
      </c>
      <c r="H445" t="s">
        <v>1562</v>
      </c>
      <c r="I445">
        <v>223</v>
      </c>
      <c r="J445">
        <v>277</v>
      </c>
      <c r="K445">
        <v>3800000</v>
      </c>
      <c r="L445" t="s">
        <v>28</v>
      </c>
      <c r="M445">
        <v>3495000</v>
      </c>
      <c r="N445">
        <v>0</v>
      </c>
      <c r="O445" t="s">
        <v>103</v>
      </c>
      <c r="P445" t="s">
        <v>30</v>
      </c>
      <c r="Q445" t="s">
        <v>43</v>
      </c>
      <c r="R445" t="s">
        <v>24</v>
      </c>
      <c r="S445" t="s">
        <v>1563</v>
      </c>
      <c r="T445">
        <v>17040.35874439462</v>
      </c>
      <c r="U445">
        <v>13718.41155234657</v>
      </c>
      <c r="V445">
        <v>15672.645739910315</v>
      </c>
      <c r="W445">
        <v>12617.328519855595</v>
      </c>
      <c r="X445">
        <f ca="1">IF(ISNUMBER(properties[[#This Row],[archivedDate]]),properties[[#This Row],[archivedDate]]-properties[[#This Row],[addedDate]],TODAY()-properties[[#This Row],[addedDate]])</f>
        <v>26</v>
      </c>
      <c r="Y445">
        <f ca="1">IF(ISNUMBER(properties[[#This Row],[archivedDate]]),properties[[#This Row],[archivedDate]]-properties[[#This Row],[addedDate]],TODAY()-properties[[#This Row],[addedDate]])</f>
        <v>26</v>
      </c>
    </row>
    <row r="446" spans="1:25" x14ac:dyDescent="0.25">
      <c r="A446" s="1">
        <v>45952</v>
      </c>
      <c r="B446" t="s">
        <v>1564</v>
      </c>
      <c r="C446" t="s">
        <v>24</v>
      </c>
      <c r="D446" s="1">
        <v>45974</v>
      </c>
      <c r="E446" t="s">
        <v>215</v>
      </c>
      <c r="F446">
        <v>1</v>
      </c>
      <c r="G446" t="s">
        <v>1565</v>
      </c>
      <c r="H446" t="s">
        <v>1566</v>
      </c>
      <c r="I446">
        <v>96</v>
      </c>
      <c r="J446">
        <v>0</v>
      </c>
      <c r="K446">
        <v>0</v>
      </c>
      <c r="L446" t="s">
        <v>28</v>
      </c>
      <c r="M446">
        <v>3565000</v>
      </c>
      <c r="N446">
        <v>0</v>
      </c>
      <c r="O446" t="s">
        <v>103</v>
      </c>
      <c r="P446" t="s">
        <v>75</v>
      </c>
      <c r="Q446" t="s">
        <v>43</v>
      </c>
      <c r="R446" t="s">
        <v>24</v>
      </c>
      <c r="S446" t="s">
        <v>1405</v>
      </c>
      <c r="V446">
        <v>37135.416666666664</v>
      </c>
      <c r="X446">
        <f ca="1">IF(ISNUMBER(properties[[#This Row],[archivedDate]]),properties[[#This Row],[archivedDate]]-properties[[#This Row],[addedDate]],TODAY()-properties[[#This Row],[addedDate]])</f>
        <v>22</v>
      </c>
      <c r="Y446">
        <f ca="1">IF(ISNUMBER(properties[[#This Row],[archivedDate]]),properties[[#This Row],[archivedDate]]-properties[[#This Row],[addedDate]],TODAY()-properties[[#This Row],[addedDate]])</f>
        <v>22</v>
      </c>
    </row>
    <row r="447" spans="1:25" x14ac:dyDescent="0.25">
      <c r="A447" s="1">
        <v>45953</v>
      </c>
      <c r="B447" t="s">
        <v>1567</v>
      </c>
      <c r="C447" t="s">
        <v>24</v>
      </c>
      <c r="D447" s="1">
        <v>46021</v>
      </c>
      <c r="E447" t="s">
        <v>34</v>
      </c>
      <c r="F447">
        <v>2</v>
      </c>
      <c r="G447" t="s">
        <v>1568</v>
      </c>
      <c r="H447" t="s">
        <v>1569</v>
      </c>
      <c r="I447">
        <v>130</v>
      </c>
      <c r="J447">
        <v>850</v>
      </c>
      <c r="K447">
        <v>0</v>
      </c>
      <c r="L447" t="s">
        <v>28</v>
      </c>
      <c r="M447">
        <v>5495000</v>
      </c>
      <c r="N447">
        <v>0</v>
      </c>
      <c r="O447" t="s">
        <v>103</v>
      </c>
      <c r="P447" t="s">
        <v>30</v>
      </c>
      <c r="Q447" t="s">
        <v>43</v>
      </c>
      <c r="R447" t="s">
        <v>24</v>
      </c>
      <c r="S447" t="s">
        <v>1570</v>
      </c>
      <c r="V447">
        <v>42269.230769230766</v>
      </c>
      <c r="W447">
        <v>6464.7058823529414</v>
      </c>
      <c r="X447">
        <f ca="1">IF(ISNUMBER(properties[[#This Row],[archivedDate]]),properties[[#This Row],[archivedDate]]-properties[[#This Row],[addedDate]],TODAY()-properties[[#This Row],[addedDate]])</f>
        <v>68</v>
      </c>
      <c r="Y447">
        <f ca="1">IF(ISNUMBER(properties[[#This Row],[archivedDate]]),properties[[#This Row],[archivedDate]]-properties[[#This Row],[addedDate]],TODAY()-properties[[#This Row],[addedDate]])</f>
        <v>68</v>
      </c>
    </row>
    <row r="448" spans="1:25" x14ac:dyDescent="0.25">
      <c r="A448" s="1">
        <v>45953</v>
      </c>
      <c r="B448" t="s">
        <v>1571</v>
      </c>
      <c r="C448" t="s">
        <v>24</v>
      </c>
      <c r="D448" s="1">
        <v>45975</v>
      </c>
      <c r="E448" t="s">
        <v>34</v>
      </c>
      <c r="F448">
        <v>3</v>
      </c>
      <c r="G448" t="s">
        <v>1572</v>
      </c>
      <c r="H448" t="s">
        <v>1573</v>
      </c>
      <c r="I448">
        <v>146</v>
      </c>
      <c r="J448">
        <v>150</v>
      </c>
      <c r="K448">
        <v>5500000</v>
      </c>
      <c r="L448" t="s">
        <v>28</v>
      </c>
      <c r="M448">
        <v>4595000</v>
      </c>
      <c r="N448">
        <v>0</v>
      </c>
      <c r="O448" t="s">
        <v>103</v>
      </c>
      <c r="P448" t="s">
        <v>30</v>
      </c>
      <c r="Q448" t="s">
        <v>43</v>
      </c>
      <c r="R448" t="s">
        <v>24</v>
      </c>
      <c r="S448" t="s">
        <v>1574</v>
      </c>
      <c r="T448">
        <v>37671.232876712325</v>
      </c>
      <c r="U448">
        <v>36666.666666666664</v>
      </c>
      <c r="V448">
        <v>31472.602739726026</v>
      </c>
      <c r="W448">
        <v>30633.333333333332</v>
      </c>
      <c r="X448">
        <f ca="1">IF(ISNUMBER(properties[[#This Row],[archivedDate]]),properties[[#This Row],[archivedDate]]-properties[[#This Row],[addedDate]],TODAY()-properties[[#This Row],[addedDate]])</f>
        <v>22</v>
      </c>
      <c r="Y448">
        <f ca="1">IF(ISNUMBER(properties[[#This Row],[archivedDate]]),properties[[#This Row],[archivedDate]]-properties[[#This Row],[addedDate]],TODAY()-properties[[#This Row],[addedDate]])</f>
        <v>22</v>
      </c>
    </row>
    <row r="449" spans="1:25" x14ac:dyDescent="0.25">
      <c r="A449" s="1">
        <v>45959</v>
      </c>
      <c r="B449" t="s">
        <v>1575</v>
      </c>
      <c r="C449" t="s">
        <v>24</v>
      </c>
      <c r="D449" s="1">
        <v>45978</v>
      </c>
      <c r="E449" t="s">
        <v>34</v>
      </c>
      <c r="F449">
        <v>2</v>
      </c>
      <c r="G449" t="s">
        <v>1576</v>
      </c>
      <c r="H449" t="s">
        <v>1577</v>
      </c>
      <c r="I449">
        <v>145</v>
      </c>
      <c r="J449">
        <v>254</v>
      </c>
      <c r="K449">
        <v>4295000</v>
      </c>
      <c r="L449" t="s">
        <v>28</v>
      </c>
      <c r="M449">
        <v>4295000</v>
      </c>
      <c r="N449">
        <v>0</v>
      </c>
      <c r="O449" t="s">
        <v>103</v>
      </c>
      <c r="P449" t="s">
        <v>297</v>
      </c>
      <c r="Q449" t="s">
        <v>43</v>
      </c>
      <c r="R449" t="s">
        <v>24</v>
      </c>
      <c r="S449" t="s">
        <v>1578</v>
      </c>
      <c r="T449">
        <v>29620.689655172413</v>
      </c>
      <c r="U449">
        <v>16909.448818897639</v>
      </c>
      <c r="V449">
        <v>29620.689655172413</v>
      </c>
      <c r="W449">
        <v>16909.448818897639</v>
      </c>
      <c r="X449">
        <f ca="1">IF(ISNUMBER(properties[[#This Row],[archivedDate]]),properties[[#This Row],[archivedDate]]-properties[[#This Row],[addedDate]],TODAY()-properties[[#This Row],[addedDate]])</f>
        <v>19</v>
      </c>
      <c r="Y449">
        <f ca="1">IF(ISNUMBER(properties[[#This Row],[archivedDate]]),properties[[#This Row],[archivedDate]]-properties[[#This Row],[addedDate]],TODAY()-properties[[#This Row],[addedDate]])</f>
        <v>19</v>
      </c>
    </row>
    <row r="450" spans="1:25" x14ac:dyDescent="0.25">
      <c r="A450" s="1">
        <v>45960</v>
      </c>
      <c r="B450" t="s">
        <v>1579</v>
      </c>
      <c r="C450" t="s">
        <v>24</v>
      </c>
      <c r="D450" s="1">
        <v>45975</v>
      </c>
      <c r="E450" t="s">
        <v>34</v>
      </c>
      <c r="F450">
        <v>2</v>
      </c>
      <c r="G450" t="s">
        <v>1580</v>
      </c>
      <c r="H450" t="s">
        <v>1581</v>
      </c>
      <c r="I450">
        <v>147</v>
      </c>
      <c r="J450">
        <v>140</v>
      </c>
      <c r="K450">
        <v>0</v>
      </c>
      <c r="L450" t="s">
        <v>28</v>
      </c>
      <c r="M450">
        <v>4145000</v>
      </c>
      <c r="N450">
        <v>0</v>
      </c>
      <c r="O450" t="s">
        <v>103</v>
      </c>
      <c r="P450" t="s">
        <v>108</v>
      </c>
      <c r="Q450" t="s">
        <v>43</v>
      </c>
      <c r="R450" t="s">
        <v>24</v>
      </c>
      <c r="S450" t="s">
        <v>1469</v>
      </c>
      <c r="V450">
        <v>28197.278911564626</v>
      </c>
      <c r="W450">
        <v>29607.142857142859</v>
      </c>
      <c r="X450">
        <f ca="1">IF(ISNUMBER(properties[[#This Row],[archivedDate]]),properties[[#This Row],[archivedDate]]-properties[[#This Row],[addedDate]],TODAY()-properties[[#This Row],[addedDate]])</f>
        <v>15</v>
      </c>
      <c r="Y450">
        <f ca="1">IF(ISNUMBER(properties[[#This Row],[archivedDate]]),properties[[#This Row],[archivedDate]]-properties[[#This Row],[addedDate]],TODAY()-properties[[#This Row],[addedDate]])</f>
        <v>15</v>
      </c>
    </row>
    <row r="451" spans="1:25" x14ac:dyDescent="0.25">
      <c r="A451" s="1">
        <v>45965</v>
      </c>
      <c r="B451" t="s">
        <v>1582</v>
      </c>
      <c r="C451" t="s">
        <v>24</v>
      </c>
      <c r="D451" s="1">
        <v>45987</v>
      </c>
      <c r="E451" t="s">
        <v>34</v>
      </c>
      <c r="F451">
        <v>1</v>
      </c>
      <c r="G451" t="s">
        <v>1583</v>
      </c>
      <c r="H451" t="s">
        <v>1584</v>
      </c>
      <c r="I451">
        <v>50</v>
      </c>
      <c r="J451">
        <v>0</v>
      </c>
      <c r="K451">
        <v>1345000</v>
      </c>
      <c r="L451" t="s">
        <v>28</v>
      </c>
      <c r="M451">
        <v>1345000</v>
      </c>
      <c r="N451">
        <v>0</v>
      </c>
      <c r="O451" t="s">
        <v>103</v>
      </c>
      <c r="P451" t="s">
        <v>75</v>
      </c>
      <c r="Q451" t="s">
        <v>43</v>
      </c>
      <c r="R451" t="s">
        <v>24</v>
      </c>
      <c r="S451" t="s">
        <v>1585</v>
      </c>
      <c r="T451">
        <v>26900</v>
      </c>
      <c r="V451">
        <v>26900</v>
      </c>
      <c r="X451">
        <f ca="1">IF(ISNUMBER(properties[[#This Row],[archivedDate]]),properties[[#This Row],[archivedDate]]-properties[[#This Row],[addedDate]],TODAY()-properties[[#This Row],[addedDate]])</f>
        <v>22</v>
      </c>
      <c r="Y451">
        <f ca="1">IF(ISNUMBER(properties[[#This Row],[archivedDate]]),properties[[#This Row],[archivedDate]]-properties[[#This Row],[addedDate]],TODAY()-properties[[#This Row],[addedDate]])</f>
        <v>22</v>
      </c>
    </row>
    <row r="452" spans="1:25" x14ac:dyDescent="0.25">
      <c r="A452" s="1">
        <v>45967</v>
      </c>
      <c r="B452" t="s">
        <v>1586</v>
      </c>
      <c r="C452" t="s">
        <v>24</v>
      </c>
      <c r="D452" s="1">
        <v>46000</v>
      </c>
      <c r="E452" t="s">
        <v>229</v>
      </c>
      <c r="F452">
        <v>2</v>
      </c>
      <c r="G452" t="s">
        <v>1587</v>
      </c>
      <c r="H452" t="s">
        <v>1588</v>
      </c>
      <c r="I452">
        <v>280</v>
      </c>
      <c r="J452">
        <v>669</v>
      </c>
      <c r="K452">
        <v>1700000</v>
      </c>
      <c r="L452" t="s">
        <v>28</v>
      </c>
      <c r="M452">
        <v>1995000</v>
      </c>
      <c r="N452">
        <v>0</v>
      </c>
      <c r="O452" t="s">
        <v>103</v>
      </c>
      <c r="P452" t="s">
        <v>30</v>
      </c>
      <c r="Q452" t="s">
        <v>43</v>
      </c>
      <c r="R452" t="s">
        <v>24</v>
      </c>
      <c r="S452" t="s">
        <v>1394</v>
      </c>
      <c r="T452">
        <v>6071.4285714285716</v>
      </c>
      <c r="U452">
        <v>2541.1061285500746</v>
      </c>
      <c r="V452">
        <v>7125</v>
      </c>
      <c r="W452">
        <v>2982.0627802690583</v>
      </c>
      <c r="X452">
        <f ca="1">IF(ISNUMBER(properties[[#This Row],[archivedDate]]),properties[[#This Row],[archivedDate]]-properties[[#This Row],[addedDate]],TODAY()-properties[[#This Row],[addedDate]])</f>
        <v>33</v>
      </c>
      <c r="Y452">
        <f ca="1">IF(ISNUMBER(properties[[#This Row],[archivedDate]]),properties[[#This Row],[archivedDate]]-properties[[#This Row],[addedDate]],TODAY()-properties[[#This Row],[addedDate]])</f>
        <v>33</v>
      </c>
    </row>
    <row r="453" spans="1:25" x14ac:dyDescent="0.25">
      <c r="A453" s="1">
        <v>45968</v>
      </c>
      <c r="B453" t="s">
        <v>1589</v>
      </c>
      <c r="C453" t="s">
        <v>24</v>
      </c>
      <c r="D453" s="1"/>
      <c r="E453" t="s">
        <v>505</v>
      </c>
      <c r="F453">
        <v>1</v>
      </c>
      <c r="G453" t="s">
        <v>1590</v>
      </c>
      <c r="H453" t="s">
        <v>1591</v>
      </c>
      <c r="I453">
        <v>110</v>
      </c>
      <c r="J453">
        <v>0</v>
      </c>
      <c r="K453">
        <v>0</v>
      </c>
      <c r="L453" t="s">
        <v>28</v>
      </c>
      <c r="M453">
        <v>3195000</v>
      </c>
      <c r="N453">
        <v>0</v>
      </c>
      <c r="O453" t="s">
        <v>29</v>
      </c>
      <c r="P453" t="s">
        <v>75</v>
      </c>
      <c r="Q453" t="s">
        <v>43</v>
      </c>
      <c r="R453" t="s">
        <v>24</v>
      </c>
      <c r="S453" t="s">
        <v>1592</v>
      </c>
      <c r="V453">
        <v>29045.454545454544</v>
      </c>
      <c r="X453">
        <f ca="1">IF(ISNUMBER(properties[[#This Row],[archivedDate]]),properties[[#This Row],[archivedDate]]-properties[[#This Row],[addedDate]],TODAY()-properties[[#This Row],[addedDate]])</f>
        <v>151</v>
      </c>
      <c r="Y453">
        <f ca="1">IF(ISNUMBER(properties[[#This Row],[archivedDate]]),properties[[#This Row],[archivedDate]]-properties[[#This Row],[addedDate]],TODAY()-properties[[#This Row],[addedDate]])</f>
        <v>151</v>
      </c>
    </row>
    <row r="454" spans="1:25" x14ac:dyDescent="0.25">
      <c r="A454" s="1">
        <v>45989</v>
      </c>
      <c r="B454" t="s">
        <v>1593</v>
      </c>
      <c r="C454" t="s">
        <v>24</v>
      </c>
      <c r="D454" s="1">
        <v>46038</v>
      </c>
      <c r="E454" t="s">
        <v>215</v>
      </c>
      <c r="F454">
        <v>2</v>
      </c>
      <c r="G454" t="s">
        <v>1594</v>
      </c>
      <c r="H454" t="s">
        <v>1595</v>
      </c>
      <c r="I454">
        <v>128</v>
      </c>
      <c r="J454">
        <v>250</v>
      </c>
      <c r="K454">
        <v>4400000</v>
      </c>
      <c r="L454" t="s">
        <v>28</v>
      </c>
      <c r="M454">
        <v>3945000</v>
      </c>
      <c r="N454">
        <v>0</v>
      </c>
      <c r="O454" t="s">
        <v>103</v>
      </c>
      <c r="P454" t="s">
        <v>108</v>
      </c>
      <c r="Q454" t="s">
        <v>1596</v>
      </c>
      <c r="R454" t="s">
        <v>24</v>
      </c>
      <c r="S454" t="s">
        <v>1597</v>
      </c>
      <c r="T454">
        <v>34375</v>
      </c>
      <c r="U454">
        <v>17600</v>
      </c>
      <c r="V454">
        <v>30820.3125</v>
      </c>
      <c r="W454">
        <v>15780</v>
      </c>
      <c r="X454">
        <f ca="1">IF(ISNUMBER(properties[[#This Row],[archivedDate]]),properties[[#This Row],[archivedDate]]-properties[[#This Row],[addedDate]],TODAY()-properties[[#This Row],[addedDate]])</f>
        <v>49</v>
      </c>
      <c r="Y454">
        <f ca="1">IF(ISNUMBER(properties[[#This Row],[archivedDate]]),properties[[#This Row],[archivedDate]]-properties[[#This Row],[addedDate]],TODAY()-properties[[#This Row],[addedDate]])</f>
        <v>49</v>
      </c>
    </row>
    <row r="455" spans="1:25" x14ac:dyDescent="0.25">
      <c r="A455" s="1">
        <v>45996</v>
      </c>
      <c r="B455" t="s">
        <v>1598</v>
      </c>
      <c r="C455" t="s">
        <v>24</v>
      </c>
      <c r="D455" s="1">
        <v>46014</v>
      </c>
      <c r="E455" t="s">
        <v>1599</v>
      </c>
      <c r="F455">
        <v>0</v>
      </c>
      <c r="G455" t="s">
        <v>1600</v>
      </c>
      <c r="H455" t="s">
        <v>1601</v>
      </c>
      <c r="I455">
        <v>0</v>
      </c>
      <c r="J455">
        <v>592</v>
      </c>
      <c r="K455">
        <v>0</v>
      </c>
      <c r="L455" t="s">
        <v>28</v>
      </c>
      <c r="M455">
        <v>125000</v>
      </c>
      <c r="N455">
        <v>0</v>
      </c>
      <c r="O455" t="s">
        <v>103</v>
      </c>
      <c r="P455" t="s">
        <v>98</v>
      </c>
      <c r="Q455" t="s">
        <v>43</v>
      </c>
      <c r="R455" t="s">
        <v>24</v>
      </c>
      <c r="S455" t="s">
        <v>43</v>
      </c>
      <c r="W455">
        <v>211.14864864864865</v>
      </c>
      <c r="X455">
        <f ca="1">IF(ISNUMBER(properties[[#This Row],[archivedDate]]),properties[[#This Row],[archivedDate]]-properties[[#This Row],[addedDate]],TODAY()-properties[[#This Row],[addedDate]])</f>
        <v>18</v>
      </c>
      <c r="Y455">
        <f ca="1">IF(ISNUMBER(properties[[#This Row],[archivedDate]]),properties[[#This Row],[archivedDate]]-properties[[#This Row],[addedDate]],TODAY()-properties[[#This Row],[addedDate]])</f>
        <v>18</v>
      </c>
    </row>
    <row r="456" spans="1:25" x14ac:dyDescent="0.25">
      <c r="A456" s="1">
        <v>45996</v>
      </c>
      <c r="B456" t="s">
        <v>1602</v>
      </c>
      <c r="C456" t="s">
        <v>24</v>
      </c>
      <c r="D456" s="1">
        <v>46080</v>
      </c>
      <c r="E456" t="s">
        <v>346</v>
      </c>
      <c r="F456">
        <v>2</v>
      </c>
      <c r="G456" t="s">
        <v>1603</v>
      </c>
      <c r="H456" t="s">
        <v>1604</v>
      </c>
      <c r="I456">
        <v>82</v>
      </c>
      <c r="J456">
        <v>47</v>
      </c>
      <c r="K456">
        <v>0</v>
      </c>
      <c r="L456" t="s">
        <v>28</v>
      </c>
      <c r="M456">
        <v>745000</v>
      </c>
      <c r="N456">
        <v>0</v>
      </c>
      <c r="O456" t="s">
        <v>103</v>
      </c>
      <c r="P456" t="s">
        <v>55</v>
      </c>
      <c r="Q456" t="s">
        <v>43</v>
      </c>
      <c r="R456" t="s">
        <v>24</v>
      </c>
      <c r="S456" t="s">
        <v>1605</v>
      </c>
      <c r="V456">
        <v>9085.3658536585372</v>
      </c>
      <c r="W456">
        <v>15851.063829787234</v>
      </c>
      <c r="X456">
        <f ca="1">IF(ISNUMBER(properties[[#This Row],[archivedDate]]),properties[[#This Row],[archivedDate]]-properties[[#This Row],[addedDate]],TODAY()-properties[[#This Row],[addedDate]])</f>
        <v>84</v>
      </c>
      <c r="Y456">
        <f ca="1">IF(ISNUMBER(properties[[#This Row],[archivedDate]]),properties[[#This Row],[archivedDate]]-properties[[#This Row],[addedDate]],TODAY()-properties[[#This Row],[addedDate]])</f>
        <v>84</v>
      </c>
    </row>
    <row r="457" spans="1:25" x14ac:dyDescent="0.25">
      <c r="A457" s="1">
        <v>46002</v>
      </c>
      <c r="B457" t="s">
        <v>1606</v>
      </c>
      <c r="C457" t="s">
        <v>24</v>
      </c>
      <c r="D457" s="1">
        <v>46094</v>
      </c>
      <c r="E457" t="s">
        <v>34</v>
      </c>
      <c r="F457">
        <v>1</v>
      </c>
      <c r="G457" t="s">
        <v>1607</v>
      </c>
      <c r="H457" t="s">
        <v>1608</v>
      </c>
      <c r="I457">
        <v>95</v>
      </c>
      <c r="J457">
        <v>0</v>
      </c>
      <c r="K457">
        <v>4100000</v>
      </c>
      <c r="L457" t="s">
        <v>28</v>
      </c>
      <c r="M457">
        <v>4295000</v>
      </c>
      <c r="N457">
        <v>0</v>
      </c>
      <c r="O457" t="s">
        <v>103</v>
      </c>
      <c r="P457" t="s">
        <v>75</v>
      </c>
      <c r="Q457" t="s">
        <v>43</v>
      </c>
      <c r="R457" t="s">
        <v>24</v>
      </c>
      <c r="S457" t="s">
        <v>1609</v>
      </c>
      <c r="T457">
        <v>43157.894736842107</v>
      </c>
      <c r="V457">
        <v>45210.526315789473</v>
      </c>
      <c r="X457">
        <f ca="1">IF(ISNUMBER(properties[[#This Row],[archivedDate]]),properties[[#This Row],[archivedDate]]-properties[[#This Row],[addedDate]],TODAY()-properties[[#This Row],[addedDate]])</f>
        <v>92</v>
      </c>
      <c r="Y457">
        <f ca="1">IF(ISNUMBER(properties[[#This Row],[archivedDate]]),properties[[#This Row],[archivedDate]]-properties[[#This Row],[addedDate]],TODAY()-properties[[#This Row],[addedDate]])</f>
        <v>92</v>
      </c>
    </row>
    <row r="458" spans="1:25" x14ac:dyDescent="0.25">
      <c r="A458" s="1">
        <v>46003</v>
      </c>
      <c r="B458" t="s">
        <v>1610</v>
      </c>
      <c r="C458" t="s">
        <v>24</v>
      </c>
      <c r="D458" s="1">
        <v>46080</v>
      </c>
      <c r="E458" t="s">
        <v>34</v>
      </c>
      <c r="F458">
        <v>1</v>
      </c>
      <c r="G458" t="s">
        <v>1611</v>
      </c>
      <c r="H458" t="s">
        <v>1612</v>
      </c>
      <c r="I458">
        <v>116</v>
      </c>
      <c r="J458">
        <v>0</v>
      </c>
      <c r="K458">
        <v>4195000</v>
      </c>
      <c r="L458" t="s">
        <v>28</v>
      </c>
      <c r="M458">
        <v>4195000</v>
      </c>
      <c r="N458">
        <v>0</v>
      </c>
      <c r="O458" t="s">
        <v>103</v>
      </c>
      <c r="P458" t="s">
        <v>75</v>
      </c>
      <c r="Q458" t="s">
        <v>43</v>
      </c>
      <c r="R458" t="s">
        <v>24</v>
      </c>
      <c r="S458" t="s">
        <v>1613</v>
      </c>
      <c r="T458">
        <v>36163.793103448275</v>
      </c>
      <c r="V458">
        <v>36163.793103448275</v>
      </c>
      <c r="X458">
        <f ca="1">IF(ISNUMBER(properties[[#This Row],[archivedDate]]),properties[[#This Row],[archivedDate]]-properties[[#This Row],[addedDate]],TODAY()-properties[[#This Row],[addedDate]])</f>
        <v>77</v>
      </c>
      <c r="Y458">
        <f ca="1">IF(ISNUMBER(properties[[#This Row],[archivedDate]]),properties[[#This Row],[archivedDate]]-properties[[#This Row],[addedDate]],TODAY()-properties[[#This Row],[addedDate]])</f>
        <v>77</v>
      </c>
    </row>
    <row r="459" spans="1:25" x14ac:dyDescent="0.25">
      <c r="A459" s="1">
        <v>46009</v>
      </c>
      <c r="B459" t="s">
        <v>1614</v>
      </c>
      <c r="C459" t="s">
        <v>24</v>
      </c>
      <c r="D459" s="1">
        <v>46106</v>
      </c>
      <c r="E459" t="s">
        <v>505</v>
      </c>
      <c r="F459">
        <v>3</v>
      </c>
      <c r="G459" t="s">
        <v>1615</v>
      </c>
      <c r="H459" t="s">
        <v>1616</v>
      </c>
      <c r="I459">
        <v>142</v>
      </c>
      <c r="J459">
        <v>1642</v>
      </c>
      <c r="K459">
        <v>3000000</v>
      </c>
      <c r="L459" t="s">
        <v>28</v>
      </c>
      <c r="M459">
        <v>2595000</v>
      </c>
      <c r="N459">
        <v>0</v>
      </c>
      <c r="O459" t="s">
        <v>103</v>
      </c>
      <c r="P459" t="s">
        <v>30</v>
      </c>
      <c r="Q459" t="s">
        <v>43</v>
      </c>
      <c r="R459" t="s">
        <v>24</v>
      </c>
      <c r="S459" t="s">
        <v>1570</v>
      </c>
      <c r="T459">
        <v>21126.760563380281</v>
      </c>
      <c r="U459">
        <v>1827.0401948842875</v>
      </c>
      <c r="V459">
        <v>18274.647887323943</v>
      </c>
      <c r="W459">
        <v>1580.3897685749087</v>
      </c>
      <c r="X459">
        <f ca="1">IF(ISNUMBER(properties[[#This Row],[archivedDate]]),properties[[#This Row],[archivedDate]]-properties[[#This Row],[addedDate]],TODAY()-properties[[#This Row],[addedDate]])</f>
        <v>97</v>
      </c>
      <c r="Y459">
        <f ca="1">IF(ISNUMBER(properties[[#This Row],[archivedDate]]),properties[[#This Row],[archivedDate]]-properties[[#This Row],[addedDate]],TODAY()-properties[[#This Row],[addedDate]])</f>
        <v>97</v>
      </c>
    </row>
    <row r="460" spans="1:25" x14ac:dyDescent="0.25">
      <c r="A460" s="1">
        <v>46010</v>
      </c>
      <c r="B460" t="s">
        <v>1617</v>
      </c>
      <c r="C460" t="s">
        <v>24</v>
      </c>
      <c r="D460" s="1">
        <v>46024</v>
      </c>
      <c r="E460" t="s">
        <v>1618</v>
      </c>
      <c r="F460">
        <v>2</v>
      </c>
      <c r="G460" t="s">
        <v>1619</v>
      </c>
      <c r="H460" t="s">
        <v>1620</v>
      </c>
      <c r="I460">
        <v>119</v>
      </c>
      <c r="J460">
        <v>0</v>
      </c>
      <c r="K460">
        <v>0</v>
      </c>
      <c r="L460" t="s">
        <v>28</v>
      </c>
      <c r="M460">
        <v>1395000</v>
      </c>
      <c r="N460">
        <v>0</v>
      </c>
      <c r="O460" t="s">
        <v>103</v>
      </c>
      <c r="P460" t="s">
        <v>30</v>
      </c>
      <c r="Q460" t="s">
        <v>43</v>
      </c>
      <c r="R460" t="s">
        <v>24</v>
      </c>
      <c r="S460" t="s">
        <v>1621</v>
      </c>
      <c r="V460">
        <v>11722.689075630253</v>
      </c>
      <c r="X460">
        <f ca="1">IF(ISNUMBER(properties[[#This Row],[archivedDate]]),properties[[#This Row],[archivedDate]]-properties[[#This Row],[addedDate]],TODAY()-properties[[#This Row],[addedDate]])</f>
        <v>14</v>
      </c>
      <c r="Y460">
        <f ca="1">IF(ISNUMBER(properties[[#This Row],[archivedDate]]),properties[[#This Row],[archivedDate]]-properties[[#This Row],[addedDate]],TODAY()-properties[[#This Row],[addedDate]])</f>
        <v>14</v>
      </c>
    </row>
    <row r="461" spans="1:25" x14ac:dyDescent="0.25">
      <c r="A461" s="1">
        <v>46041</v>
      </c>
      <c r="B461" t="s">
        <v>1622</v>
      </c>
      <c r="C461" t="s">
        <v>24</v>
      </c>
      <c r="D461" s="1"/>
      <c r="E461" t="s">
        <v>1623</v>
      </c>
      <c r="F461">
        <v>3</v>
      </c>
      <c r="G461" t="s">
        <v>1624</v>
      </c>
      <c r="H461" t="s">
        <v>1625</v>
      </c>
      <c r="I461">
        <v>121</v>
      </c>
      <c r="J461">
        <v>56</v>
      </c>
      <c r="K461">
        <v>1800000</v>
      </c>
      <c r="L461" t="s">
        <v>28</v>
      </c>
      <c r="M461">
        <v>2495000</v>
      </c>
      <c r="N461">
        <v>0</v>
      </c>
      <c r="O461" t="s">
        <v>29</v>
      </c>
      <c r="P461" t="s">
        <v>30</v>
      </c>
      <c r="Q461" t="s">
        <v>43</v>
      </c>
      <c r="R461" t="s">
        <v>24</v>
      </c>
      <c r="S461" t="s">
        <v>1626</v>
      </c>
      <c r="T461">
        <v>14876.03305785124</v>
      </c>
      <c r="U461">
        <v>32142.857142857141</v>
      </c>
      <c r="V461">
        <v>20619.834710743802</v>
      </c>
      <c r="W461">
        <v>44553.571428571428</v>
      </c>
      <c r="X461">
        <f ca="1">IF(ISNUMBER(properties[[#This Row],[archivedDate]]),properties[[#This Row],[archivedDate]]-properties[[#This Row],[addedDate]],TODAY()-properties[[#This Row],[addedDate]])</f>
        <v>78</v>
      </c>
      <c r="Y461">
        <f ca="1">IF(ISNUMBER(properties[[#This Row],[archivedDate]]),properties[[#This Row],[archivedDate]]-properties[[#This Row],[addedDate]],TODAY()-properties[[#This Row],[addedDate]])</f>
        <v>78</v>
      </c>
    </row>
    <row r="462" spans="1:25" x14ac:dyDescent="0.25">
      <c r="A462" s="1">
        <v>46044</v>
      </c>
      <c r="B462" t="s">
        <v>1627</v>
      </c>
      <c r="C462" t="s">
        <v>24</v>
      </c>
      <c r="D462" s="1">
        <v>46069</v>
      </c>
      <c r="E462" t="s">
        <v>505</v>
      </c>
      <c r="F462">
        <v>3</v>
      </c>
      <c r="G462" t="s">
        <v>1628</v>
      </c>
      <c r="H462" t="s">
        <v>1629</v>
      </c>
      <c r="I462">
        <v>154</v>
      </c>
      <c r="J462">
        <v>1153</v>
      </c>
      <c r="K462">
        <v>1600000</v>
      </c>
      <c r="L462" t="s">
        <v>28</v>
      </c>
      <c r="M462">
        <v>2195000</v>
      </c>
      <c r="N462">
        <v>0</v>
      </c>
      <c r="O462" t="s">
        <v>103</v>
      </c>
      <c r="P462" t="s">
        <v>30</v>
      </c>
      <c r="Q462" t="s">
        <v>43</v>
      </c>
      <c r="R462" t="s">
        <v>24</v>
      </c>
      <c r="S462" t="s">
        <v>1630</v>
      </c>
      <c r="T462">
        <v>10389.61038961039</v>
      </c>
      <c r="U462">
        <v>1387.6843018213356</v>
      </c>
      <c r="V462">
        <v>14253.246753246753</v>
      </c>
      <c r="W462">
        <v>1903.7294015611449</v>
      </c>
      <c r="X462">
        <f ca="1">IF(ISNUMBER(properties[[#This Row],[archivedDate]]),properties[[#This Row],[archivedDate]]-properties[[#This Row],[addedDate]],TODAY()-properties[[#This Row],[addedDate]])</f>
        <v>25</v>
      </c>
      <c r="Y462">
        <f ca="1">IF(ISNUMBER(properties[[#This Row],[archivedDate]]),properties[[#This Row],[archivedDate]]-properties[[#This Row],[addedDate]],TODAY()-properties[[#This Row],[addedDate]])</f>
        <v>25</v>
      </c>
    </row>
    <row r="463" spans="1:25" x14ac:dyDescent="0.25">
      <c r="A463" s="1">
        <v>46050</v>
      </c>
      <c r="B463" t="s">
        <v>1631</v>
      </c>
      <c r="C463" t="s">
        <v>24</v>
      </c>
      <c r="D463" s="1">
        <v>46051</v>
      </c>
      <c r="E463" t="s">
        <v>229</v>
      </c>
      <c r="F463">
        <v>0</v>
      </c>
      <c r="G463" t="s">
        <v>1632</v>
      </c>
      <c r="H463" t="s">
        <v>1633</v>
      </c>
      <c r="I463">
        <v>0</v>
      </c>
      <c r="J463">
        <v>1759</v>
      </c>
      <c r="K463">
        <v>0</v>
      </c>
      <c r="L463" t="s">
        <v>28</v>
      </c>
      <c r="M463">
        <v>175900</v>
      </c>
      <c r="N463">
        <v>0</v>
      </c>
      <c r="O463" t="s">
        <v>103</v>
      </c>
      <c r="P463" t="s">
        <v>98</v>
      </c>
      <c r="Q463" t="s">
        <v>43</v>
      </c>
      <c r="R463" t="s">
        <v>24</v>
      </c>
      <c r="S463" t="s">
        <v>43</v>
      </c>
      <c r="W463">
        <v>100</v>
      </c>
      <c r="X463">
        <f ca="1">IF(ISNUMBER(properties[[#This Row],[archivedDate]]),properties[[#This Row],[archivedDate]]-properties[[#This Row],[addedDate]],TODAY()-properties[[#This Row],[addedDate]])</f>
        <v>1</v>
      </c>
      <c r="Y463">
        <f ca="1">IF(ISNUMBER(properties[[#This Row],[archivedDate]]),properties[[#This Row],[archivedDate]]-properties[[#This Row],[addedDate]],TODAY()-properties[[#This Row],[addedDate]])</f>
        <v>1</v>
      </c>
    </row>
    <row r="464" spans="1:25" x14ac:dyDescent="0.25">
      <c r="A464" s="1">
        <v>46050</v>
      </c>
      <c r="B464" t="s">
        <v>1634</v>
      </c>
      <c r="C464" t="s">
        <v>24</v>
      </c>
      <c r="D464" s="1">
        <v>46051</v>
      </c>
      <c r="E464" t="s">
        <v>229</v>
      </c>
      <c r="F464">
        <v>0</v>
      </c>
      <c r="G464" t="s">
        <v>1635</v>
      </c>
      <c r="H464" t="s">
        <v>1636</v>
      </c>
      <c r="I464">
        <v>0</v>
      </c>
      <c r="J464">
        <v>5493</v>
      </c>
      <c r="K464">
        <v>0</v>
      </c>
      <c r="L464" t="s">
        <v>28</v>
      </c>
      <c r="M464">
        <v>300000</v>
      </c>
      <c r="N464">
        <v>0</v>
      </c>
      <c r="O464" t="s">
        <v>103</v>
      </c>
      <c r="P464" t="s">
        <v>98</v>
      </c>
      <c r="Q464" t="s">
        <v>43</v>
      </c>
      <c r="R464" t="s">
        <v>24</v>
      </c>
      <c r="S464" t="s">
        <v>43</v>
      </c>
      <c r="W464">
        <v>54.614964500273075</v>
      </c>
      <c r="X464">
        <f ca="1">IF(ISNUMBER(properties[[#This Row],[archivedDate]]),properties[[#This Row],[archivedDate]]-properties[[#This Row],[addedDate]],TODAY()-properties[[#This Row],[addedDate]])</f>
        <v>1</v>
      </c>
      <c r="Y464">
        <f ca="1">IF(ISNUMBER(properties[[#This Row],[archivedDate]]),properties[[#This Row],[archivedDate]]-properties[[#This Row],[addedDate]],TODAY()-properties[[#This Row],[addedDate]])</f>
        <v>1</v>
      </c>
    </row>
    <row r="465" spans="1:25" x14ac:dyDescent="0.25">
      <c r="A465" s="1">
        <v>46050</v>
      </c>
      <c r="B465" t="s">
        <v>1637</v>
      </c>
      <c r="C465" t="s">
        <v>24</v>
      </c>
      <c r="D465" s="1">
        <v>46051</v>
      </c>
      <c r="E465" t="s">
        <v>196</v>
      </c>
      <c r="F465">
        <v>0</v>
      </c>
      <c r="G465" t="s">
        <v>1638</v>
      </c>
      <c r="H465" t="s">
        <v>1639</v>
      </c>
      <c r="I465">
        <v>0</v>
      </c>
      <c r="J465">
        <v>11320</v>
      </c>
      <c r="K465">
        <v>0</v>
      </c>
      <c r="L465" t="s">
        <v>28</v>
      </c>
      <c r="M465">
        <v>495000</v>
      </c>
      <c r="N465">
        <v>0</v>
      </c>
      <c r="O465" t="s">
        <v>103</v>
      </c>
      <c r="P465" t="s">
        <v>194</v>
      </c>
      <c r="Q465" t="s">
        <v>43</v>
      </c>
      <c r="R465" t="s">
        <v>24</v>
      </c>
      <c r="S465" t="s">
        <v>43</v>
      </c>
      <c r="W465">
        <v>43.727915194346288</v>
      </c>
      <c r="X465">
        <f ca="1">IF(ISNUMBER(properties[[#This Row],[archivedDate]]),properties[[#This Row],[archivedDate]]-properties[[#This Row],[addedDate]],TODAY()-properties[[#This Row],[addedDate]])</f>
        <v>1</v>
      </c>
      <c r="Y465">
        <f ca="1">IF(ISNUMBER(properties[[#This Row],[archivedDate]]),properties[[#This Row],[archivedDate]]-properties[[#This Row],[addedDate]],TODAY()-properties[[#This Row],[addedDate]])</f>
        <v>1</v>
      </c>
    </row>
    <row r="466" spans="1:25" x14ac:dyDescent="0.25">
      <c r="A466" s="1">
        <v>46050</v>
      </c>
      <c r="B466" t="s">
        <v>1640</v>
      </c>
      <c r="C466" t="s">
        <v>24</v>
      </c>
      <c r="D466" s="1">
        <v>46051</v>
      </c>
      <c r="E466" t="s">
        <v>229</v>
      </c>
      <c r="F466">
        <v>0</v>
      </c>
      <c r="G466" t="s">
        <v>1641</v>
      </c>
      <c r="H466" t="s">
        <v>1642</v>
      </c>
      <c r="I466">
        <v>0</v>
      </c>
      <c r="J466">
        <v>6410</v>
      </c>
      <c r="K466">
        <v>0</v>
      </c>
      <c r="L466" t="s">
        <v>28</v>
      </c>
      <c r="M466">
        <v>230000</v>
      </c>
      <c r="N466">
        <v>0</v>
      </c>
      <c r="O466" t="s">
        <v>103</v>
      </c>
      <c r="P466" t="s">
        <v>194</v>
      </c>
      <c r="Q466" t="s">
        <v>43</v>
      </c>
      <c r="R466" t="s">
        <v>24</v>
      </c>
      <c r="S466" t="s">
        <v>43</v>
      </c>
      <c r="W466">
        <v>35.881435257410295</v>
      </c>
      <c r="X466">
        <f ca="1">IF(ISNUMBER(properties[[#This Row],[archivedDate]]),properties[[#This Row],[archivedDate]]-properties[[#This Row],[addedDate]],TODAY()-properties[[#This Row],[addedDate]])</f>
        <v>1</v>
      </c>
      <c r="Y466">
        <f ca="1">IF(ISNUMBER(properties[[#This Row],[archivedDate]]),properties[[#This Row],[archivedDate]]-properties[[#This Row],[addedDate]],TODAY()-properties[[#This Row],[addedDate]])</f>
        <v>1</v>
      </c>
    </row>
    <row r="467" spans="1:25" x14ac:dyDescent="0.25">
      <c r="A467" s="1">
        <v>46057</v>
      </c>
      <c r="B467" t="s">
        <v>1643</v>
      </c>
      <c r="C467" t="s">
        <v>24</v>
      </c>
      <c r="D467" s="1">
        <v>46097</v>
      </c>
      <c r="E467" t="s">
        <v>34</v>
      </c>
      <c r="F467">
        <v>2</v>
      </c>
      <c r="G467" t="s">
        <v>1644</v>
      </c>
      <c r="H467" t="s">
        <v>1645</v>
      </c>
      <c r="I467">
        <v>169</v>
      </c>
      <c r="J467">
        <v>282</v>
      </c>
      <c r="K467">
        <v>5000000</v>
      </c>
      <c r="L467" t="s">
        <v>28</v>
      </c>
      <c r="M467">
        <v>4395000</v>
      </c>
      <c r="N467">
        <v>0</v>
      </c>
      <c r="O467" t="s">
        <v>103</v>
      </c>
      <c r="P467" t="s">
        <v>108</v>
      </c>
      <c r="Q467" t="s">
        <v>43</v>
      </c>
      <c r="R467" t="s">
        <v>24</v>
      </c>
      <c r="S467" t="s">
        <v>1364</v>
      </c>
      <c r="T467">
        <v>29585.798816568047</v>
      </c>
      <c r="U467">
        <v>17730.496453900709</v>
      </c>
      <c r="V467">
        <v>26005.917159763314</v>
      </c>
      <c r="W467">
        <v>15585.106382978724</v>
      </c>
      <c r="X467">
        <f ca="1">IF(ISNUMBER(properties[[#This Row],[archivedDate]]),properties[[#This Row],[archivedDate]]-properties[[#This Row],[addedDate]],TODAY()-properties[[#This Row],[addedDate]])</f>
        <v>40</v>
      </c>
      <c r="Y467">
        <f ca="1">IF(ISNUMBER(properties[[#This Row],[archivedDate]]),properties[[#This Row],[archivedDate]]-properties[[#This Row],[addedDate]],TODAY()-properties[[#This Row],[addedDate]])</f>
        <v>40</v>
      </c>
    </row>
    <row r="468" spans="1:25" x14ac:dyDescent="0.25">
      <c r="A468" s="1">
        <v>46069</v>
      </c>
      <c r="B468" t="s">
        <v>1646</v>
      </c>
      <c r="C468" t="s">
        <v>24</v>
      </c>
      <c r="D468" s="1">
        <v>46087</v>
      </c>
      <c r="E468" t="s">
        <v>34</v>
      </c>
      <c r="F468">
        <v>1</v>
      </c>
      <c r="G468" t="s">
        <v>1647</v>
      </c>
      <c r="H468" t="s">
        <v>1648</v>
      </c>
      <c r="I468">
        <v>56</v>
      </c>
      <c r="J468">
        <v>0</v>
      </c>
      <c r="K468">
        <v>2800000</v>
      </c>
      <c r="L468" t="s">
        <v>28</v>
      </c>
      <c r="M468">
        <v>2695000</v>
      </c>
      <c r="N468">
        <v>0</v>
      </c>
      <c r="O468" t="s">
        <v>103</v>
      </c>
      <c r="P468" t="s">
        <v>75</v>
      </c>
      <c r="Q468" t="s">
        <v>1649</v>
      </c>
      <c r="R468" t="s">
        <v>24</v>
      </c>
      <c r="S468" t="s">
        <v>1609</v>
      </c>
      <c r="T468">
        <v>50000</v>
      </c>
      <c r="V468">
        <v>48125</v>
      </c>
      <c r="X468">
        <f ca="1">IF(ISNUMBER(properties[[#This Row],[archivedDate]]),properties[[#This Row],[archivedDate]]-properties[[#This Row],[addedDate]],TODAY()-properties[[#This Row],[addedDate]])</f>
        <v>18</v>
      </c>
      <c r="Y468">
        <f ca="1">IF(ISNUMBER(properties[[#This Row],[archivedDate]]),properties[[#This Row],[archivedDate]]-properties[[#This Row],[addedDate]],TODAY()-properties[[#This Row],[addedDate]])</f>
        <v>18</v>
      </c>
    </row>
    <row r="469" spans="1:25" x14ac:dyDescent="0.25">
      <c r="A469" s="1">
        <v>46069</v>
      </c>
      <c r="B469" t="s">
        <v>1650</v>
      </c>
      <c r="C469" t="s">
        <v>24</v>
      </c>
      <c r="D469" s="1"/>
      <c r="E469" t="s">
        <v>1651</v>
      </c>
      <c r="F469">
        <v>2</v>
      </c>
      <c r="G469" t="s">
        <v>1652</v>
      </c>
      <c r="H469" t="s">
        <v>1653</v>
      </c>
      <c r="I469">
        <v>56</v>
      </c>
      <c r="J469">
        <v>59</v>
      </c>
      <c r="K469">
        <v>405000</v>
      </c>
      <c r="L469" t="s">
        <v>28</v>
      </c>
      <c r="M469">
        <v>595000</v>
      </c>
      <c r="N469">
        <v>0</v>
      </c>
      <c r="O469" t="s">
        <v>29</v>
      </c>
      <c r="P469" t="s">
        <v>55</v>
      </c>
      <c r="Q469" t="s">
        <v>43</v>
      </c>
      <c r="R469" t="s">
        <v>24</v>
      </c>
      <c r="S469" t="s">
        <v>314</v>
      </c>
      <c r="T469">
        <v>7232.1428571428569</v>
      </c>
      <c r="U469">
        <v>6864.406779661017</v>
      </c>
      <c r="V469">
        <v>10625</v>
      </c>
      <c r="W469">
        <v>10084.745762711864</v>
      </c>
      <c r="X469">
        <f ca="1">IF(ISNUMBER(properties[[#This Row],[archivedDate]]),properties[[#This Row],[archivedDate]]-properties[[#This Row],[addedDate]],TODAY()-properties[[#This Row],[addedDate]])</f>
        <v>50</v>
      </c>
      <c r="Y469">
        <f ca="1">IF(ISNUMBER(properties[[#This Row],[archivedDate]]),properties[[#This Row],[archivedDate]]-properties[[#This Row],[addedDate]],TODAY()-properties[[#This Row],[addedDate]])</f>
        <v>50</v>
      </c>
    </row>
    <row r="470" spans="1:25" x14ac:dyDescent="0.25">
      <c r="A470" s="1">
        <v>46071</v>
      </c>
      <c r="B470" t="s">
        <v>1654</v>
      </c>
      <c r="C470" t="s">
        <v>24</v>
      </c>
      <c r="D470" s="1"/>
      <c r="E470" t="s">
        <v>1655</v>
      </c>
      <c r="F470">
        <v>2</v>
      </c>
      <c r="G470" t="s">
        <v>1656</v>
      </c>
      <c r="H470" t="s">
        <v>1657</v>
      </c>
      <c r="I470">
        <v>77</v>
      </c>
      <c r="J470">
        <v>588</v>
      </c>
      <c r="K470">
        <v>1000000</v>
      </c>
      <c r="L470" t="s">
        <v>28</v>
      </c>
      <c r="M470">
        <v>1250000</v>
      </c>
      <c r="N470">
        <v>0</v>
      </c>
      <c r="O470" t="s">
        <v>29</v>
      </c>
      <c r="P470" t="s">
        <v>30</v>
      </c>
      <c r="Q470" t="s">
        <v>43</v>
      </c>
      <c r="R470" t="s">
        <v>24</v>
      </c>
      <c r="S470" t="s">
        <v>1658</v>
      </c>
      <c r="T470">
        <v>12987.012987012988</v>
      </c>
      <c r="U470">
        <v>1700.6802721088436</v>
      </c>
      <c r="V470">
        <v>16233.766233766233</v>
      </c>
      <c r="W470">
        <v>2125.8503401360545</v>
      </c>
      <c r="X470">
        <f ca="1">IF(ISNUMBER(properties[[#This Row],[archivedDate]]),properties[[#This Row],[archivedDate]]-properties[[#This Row],[addedDate]],TODAY()-properties[[#This Row],[addedDate]])</f>
        <v>48</v>
      </c>
      <c r="Y470">
        <f ca="1">IF(ISNUMBER(properties[[#This Row],[archivedDate]]),properties[[#This Row],[archivedDate]]-properties[[#This Row],[addedDate]],TODAY()-properties[[#This Row],[addedDate]])</f>
        <v>48</v>
      </c>
    </row>
    <row r="471" spans="1:25" x14ac:dyDescent="0.25">
      <c r="A471" s="1">
        <v>46072</v>
      </c>
      <c r="B471" t="s">
        <v>1659</v>
      </c>
      <c r="C471" t="s">
        <v>24</v>
      </c>
      <c r="D471" s="1">
        <v>46090</v>
      </c>
      <c r="E471" t="s">
        <v>40</v>
      </c>
      <c r="F471">
        <v>3</v>
      </c>
      <c r="G471" t="s">
        <v>1660</v>
      </c>
      <c r="H471" t="s">
        <v>1661</v>
      </c>
      <c r="I471">
        <v>105</v>
      </c>
      <c r="J471">
        <v>252</v>
      </c>
      <c r="K471">
        <v>2150000</v>
      </c>
      <c r="L471" t="s">
        <v>28</v>
      </c>
      <c r="M471">
        <v>1995000</v>
      </c>
      <c r="N471">
        <v>0</v>
      </c>
      <c r="O471" t="s">
        <v>103</v>
      </c>
      <c r="P471" t="s">
        <v>30</v>
      </c>
      <c r="Q471" t="s">
        <v>1662</v>
      </c>
      <c r="R471" t="s">
        <v>24</v>
      </c>
      <c r="S471" t="s">
        <v>1663</v>
      </c>
      <c r="T471">
        <v>20476.190476190477</v>
      </c>
      <c r="U471">
        <v>8531.7460317460318</v>
      </c>
      <c r="V471">
        <v>19000</v>
      </c>
      <c r="W471">
        <v>7916.666666666667</v>
      </c>
      <c r="X471">
        <f ca="1">IF(ISNUMBER(properties[[#This Row],[archivedDate]]),properties[[#This Row],[archivedDate]]-properties[[#This Row],[addedDate]],TODAY()-properties[[#This Row],[addedDate]])</f>
        <v>18</v>
      </c>
      <c r="Y471">
        <f ca="1">IF(ISNUMBER(properties[[#This Row],[archivedDate]]),properties[[#This Row],[archivedDate]]-properties[[#This Row],[addedDate]],TODAY()-properties[[#This Row],[addedDate]])</f>
        <v>18</v>
      </c>
    </row>
    <row r="472" spans="1:25" x14ac:dyDescent="0.25">
      <c r="A472" s="1">
        <v>46072</v>
      </c>
      <c r="B472" t="s">
        <v>1664</v>
      </c>
      <c r="C472" t="s">
        <v>24</v>
      </c>
      <c r="D472" s="1"/>
      <c r="E472" t="s">
        <v>1599</v>
      </c>
      <c r="F472">
        <v>2</v>
      </c>
      <c r="G472" t="s">
        <v>1665</v>
      </c>
      <c r="H472" t="s">
        <v>1666</v>
      </c>
      <c r="I472">
        <v>84</v>
      </c>
      <c r="J472">
        <v>704</v>
      </c>
      <c r="K472">
        <v>1000000</v>
      </c>
      <c r="L472" t="s">
        <v>28</v>
      </c>
      <c r="M472">
        <v>1295000</v>
      </c>
      <c r="N472">
        <v>0</v>
      </c>
      <c r="O472" t="s">
        <v>29</v>
      </c>
      <c r="P472" t="s">
        <v>30</v>
      </c>
      <c r="Q472" t="s">
        <v>43</v>
      </c>
      <c r="R472" t="s">
        <v>24</v>
      </c>
      <c r="S472" t="s">
        <v>310</v>
      </c>
      <c r="T472">
        <v>11904.761904761905</v>
      </c>
      <c r="U472">
        <v>1420.4545454545455</v>
      </c>
      <c r="V472">
        <v>15416.666666666666</v>
      </c>
      <c r="W472">
        <v>1839.4886363636363</v>
      </c>
      <c r="X472">
        <f ca="1">IF(ISNUMBER(properties[[#This Row],[archivedDate]]),properties[[#This Row],[archivedDate]]-properties[[#This Row],[addedDate]],TODAY()-properties[[#This Row],[addedDate]])</f>
        <v>47</v>
      </c>
      <c r="Y472">
        <f ca="1">IF(ISNUMBER(properties[[#This Row],[archivedDate]]),properties[[#This Row],[archivedDate]]-properties[[#This Row],[addedDate]],TODAY()-properties[[#This Row],[addedDate]])</f>
        <v>47</v>
      </c>
    </row>
    <row r="473" spans="1:25" x14ac:dyDescent="0.25">
      <c r="A473" s="1">
        <v>46072</v>
      </c>
      <c r="B473" t="s">
        <v>1667</v>
      </c>
      <c r="C473" t="s">
        <v>24</v>
      </c>
      <c r="D473" s="1">
        <v>46077</v>
      </c>
      <c r="E473" t="s">
        <v>752</v>
      </c>
      <c r="F473">
        <v>3</v>
      </c>
      <c r="G473" t="s">
        <v>1668</v>
      </c>
      <c r="H473" t="s">
        <v>1669</v>
      </c>
      <c r="I473">
        <v>202</v>
      </c>
      <c r="J473">
        <v>574</v>
      </c>
      <c r="K473">
        <v>1800000</v>
      </c>
      <c r="L473" t="s">
        <v>28</v>
      </c>
      <c r="M473">
        <v>1995000</v>
      </c>
      <c r="N473">
        <v>0</v>
      </c>
      <c r="O473" t="s">
        <v>103</v>
      </c>
      <c r="P473" t="s">
        <v>297</v>
      </c>
      <c r="Q473" t="s">
        <v>43</v>
      </c>
      <c r="R473" t="s">
        <v>24</v>
      </c>
      <c r="S473" t="s">
        <v>1630</v>
      </c>
      <c r="T473">
        <v>8910.8910891089108</v>
      </c>
      <c r="U473">
        <v>3135.8885017421603</v>
      </c>
      <c r="V473">
        <v>9876.2376237623757</v>
      </c>
      <c r="W473">
        <v>3475.6097560975609</v>
      </c>
      <c r="X473">
        <f ca="1">IF(ISNUMBER(properties[[#This Row],[archivedDate]]),properties[[#This Row],[archivedDate]]-properties[[#This Row],[addedDate]],TODAY()-properties[[#This Row],[addedDate]])</f>
        <v>5</v>
      </c>
      <c r="Y473">
        <f ca="1">IF(ISNUMBER(properties[[#This Row],[archivedDate]]),properties[[#This Row],[archivedDate]]-properties[[#This Row],[addedDate]],TODAY()-properties[[#This Row],[addedDate]])</f>
        <v>5</v>
      </c>
    </row>
    <row r="474" spans="1:25" x14ac:dyDescent="0.25">
      <c r="A474" s="1">
        <v>46073</v>
      </c>
      <c r="B474" t="s">
        <v>1670</v>
      </c>
      <c r="C474" t="s">
        <v>24</v>
      </c>
      <c r="D474" s="1"/>
      <c r="E474" t="s">
        <v>1671</v>
      </c>
      <c r="F474">
        <v>3</v>
      </c>
      <c r="G474" t="s">
        <v>1672</v>
      </c>
      <c r="H474" t="s">
        <v>1673</v>
      </c>
      <c r="I474">
        <v>128</v>
      </c>
      <c r="J474">
        <v>254</v>
      </c>
      <c r="K474">
        <v>1200000</v>
      </c>
      <c r="L474" t="s">
        <v>28</v>
      </c>
      <c r="M474">
        <v>1195000</v>
      </c>
      <c r="N474">
        <v>0</v>
      </c>
      <c r="O474" t="s">
        <v>29</v>
      </c>
      <c r="P474" t="s">
        <v>30</v>
      </c>
      <c r="Q474" t="s">
        <v>1674</v>
      </c>
      <c r="R474" t="s">
        <v>24</v>
      </c>
      <c r="S474" t="s">
        <v>1675</v>
      </c>
      <c r="T474">
        <v>9375</v>
      </c>
      <c r="U474">
        <v>4724.4094488188975</v>
      </c>
      <c r="V474">
        <v>9335.9375</v>
      </c>
      <c r="W474">
        <v>4704.7244094488187</v>
      </c>
      <c r="X474">
        <f ca="1">IF(ISNUMBER(properties[[#This Row],[archivedDate]]),properties[[#This Row],[archivedDate]]-properties[[#This Row],[addedDate]],TODAY()-properties[[#This Row],[addedDate]])</f>
        <v>46</v>
      </c>
      <c r="Y474">
        <f ca="1">IF(ISNUMBER(properties[[#This Row],[archivedDate]]),properties[[#This Row],[archivedDate]]-properties[[#This Row],[addedDate]],TODAY()-properties[[#This Row],[addedDate]])</f>
        <v>46</v>
      </c>
    </row>
    <row r="475" spans="1:25" x14ac:dyDescent="0.25">
      <c r="A475" s="1">
        <v>46086</v>
      </c>
      <c r="B475" t="s">
        <v>1676</v>
      </c>
      <c r="C475" t="s">
        <v>24</v>
      </c>
      <c r="D475" s="1"/>
      <c r="E475" t="s">
        <v>505</v>
      </c>
      <c r="F475">
        <v>2</v>
      </c>
      <c r="G475" t="s">
        <v>1677</v>
      </c>
      <c r="H475" t="s">
        <v>1678</v>
      </c>
      <c r="I475">
        <v>126</v>
      </c>
      <c r="J475">
        <v>743</v>
      </c>
      <c r="K475">
        <v>2000000</v>
      </c>
      <c r="L475" t="s">
        <v>28</v>
      </c>
      <c r="M475">
        <v>2695000</v>
      </c>
      <c r="N475">
        <v>0</v>
      </c>
      <c r="O475" t="s">
        <v>29</v>
      </c>
      <c r="P475" t="s">
        <v>30</v>
      </c>
      <c r="Q475" t="s">
        <v>43</v>
      </c>
      <c r="R475" t="s">
        <v>24</v>
      </c>
      <c r="S475" t="s">
        <v>1679</v>
      </c>
      <c r="T475">
        <v>15873.015873015873</v>
      </c>
      <c r="U475">
        <v>2691.7900403768508</v>
      </c>
      <c r="V475">
        <v>21388.888888888891</v>
      </c>
      <c r="W475">
        <v>3627.1870794078063</v>
      </c>
      <c r="X475">
        <f ca="1">IF(ISNUMBER(properties[[#This Row],[archivedDate]]),properties[[#This Row],[archivedDate]]-properties[[#This Row],[addedDate]],TODAY()-properties[[#This Row],[addedDate]])</f>
        <v>33</v>
      </c>
      <c r="Y475">
        <f ca="1">IF(ISNUMBER(properties[[#This Row],[archivedDate]]),properties[[#This Row],[archivedDate]]-properties[[#This Row],[addedDate]],TODAY()-properties[[#This Row],[addedDate]])</f>
        <v>33</v>
      </c>
    </row>
    <row r="476" spans="1:25" x14ac:dyDescent="0.25">
      <c r="A476" s="1">
        <v>46093</v>
      </c>
      <c r="B476" t="s">
        <v>1680</v>
      </c>
      <c r="C476" t="s">
        <v>24</v>
      </c>
      <c r="D476" s="1"/>
      <c r="E476" t="s">
        <v>215</v>
      </c>
      <c r="F476">
        <v>1</v>
      </c>
      <c r="G476" t="s">
        <v>1681</v>
      </c>
      <c r="H476" t="s">
        <v>1682</v>
      </c>
      <c r="I476">
        <v>86</v>
      </c>
      <c r="J476">
        <v>0</v>
      </c>
      <c r="K476">
        <v>3150000</v>
      </c>
      <c r="L476" t="s">
        <v>28</v>
      </c>
      <c r="M476">
        <v>3495000</v>
      </c>
      <c r="N476">
        <v>0</v>
      </c>
      <c r="O476" t="s">
        <v>29</v>
      </c>
      <c r="P476" t="s">
        <v>75</v>
      </c>
      <c r="Q476" t="s">
        <v>43</v>
      </c>
      <c r="R476" t="s">
        <v>24</v>
      </c>
      <c r="S476" t="s">
        <v>1683</v>
      </c>
      <c r="T476">
        <v>36627.906976744183</v>
      </c>
      <c r="V476">
        <v>40639.534883720931</v>
      </c>
      <c r="X476">
        <f ca="1">IF(ISNUMBER(properties[[#This Row],[archivedDate]]),properties[[#This Row],[archivedDate]]-properties[[#This Row],[addedDate]],TODAY()-properties[[#This Row],[addedDate]])</f>
        <v>26</v>
      </c>
      <c r="Y476">
        <f ca="1">IF(ISNUMBER(properties[[#This Row],[archivedDate]]),properties[[#This Row],[archivedDate]]-properties[[#This Row],[addedDate]],TODAY()-properties[[#This Row],[addedDate]])</f>
        <v>26</v>
      </c>
    </row>
    <row r="477" spans="1:25" x14ac:dyDescent="0.25">
      <c r="A477" s="1">
        <v>46097</v>
      </c>
      <c r="B477" t="s">
        <v>1684</v>
      </c>
      <c r="C477" t="s">
        <v>24</v>
      </c>
      <c r="D477" s="1"/>
      <c r="E477" t="s">
        <v>215</v>
      </c>
      <c r="F477">
        <v>2</v>
      </c>
      <c r="G477" t="s">
        <v>1685</v>
      </c>
      <c r="H477" t="s">
        <v>1686</v>
      </c>
      <c r="I477">
        <v>290</v>
      </c>
      <c r="J477">
        <v>402</v>
      </c>
      <c r="K477">
        <v>0</v>
      </c>
      <c r="L477" t="s">
        <v>28</v>
      </c>
      <c r="M477">
        <v>6995000</v>
      </c>
      <c r="N477">
        <v>0</v>
      </c>
      <c r="O477" t="s">
        <v>29</v>
      </c>
      <c r="P477" t="s">
        <v>30</v>
      </c>
      <c r="Q477" t="s">
        <v>43</v>
      </c>
      <c r="R477" t="s">
        <v>24</v>
      </c>
      <c r="S477" t="s">
        <v>1687</v>
      </c>
      <c r="V477">
        <v>24120.689655172413</v>
      </c>
      <c r="W477">
        <v>17400.497512437811</v>
      </c>
      <c r="X477">
        <f ca="1">IF(ISNUMBER(properties[[#This Row],[archivedDate]]),properties[[#This Row],[archivedDate]]-properties[[#This Row],[addedDate]],TODAY()-properties[[#This Row],[addedDate]])</f>
        <v>22</v>
      </c>
      <c r="Y477">
        <f ca="1">IF(ISNUMBER(properties[[#This Row],[archivedDate]]),properties[[#This Row],[archivedDate]]-properties[[#This Row],[addedDate]],TODAY()-properties[[#This Row],[addedDate]])</f>
        <v>22</v>
      </c>
    </row>
    <row r="478" spans="1:25" x14ac:dyDescent="0.25">
      <c r="A478" s="1">
        <v>46097</v>
      </c>
      <c r="B478" t="s">
        <v>1688</v>
      </c>
      <c r="C478" t="s">
        <v>24</v>
      </c>
      <c r="D478" s="1"/>
      <c r="E478" t="s">
        <v>52</v>
      </c>
      <c r="F478">
        <v>0</v>
      </c>
      <c r="G478" t="s">
        <v>1689</v>
      </c>
      <c r="H478" t="s">
        <v>1690</v>
      </c>
      <c r="I478">
        <v>0</v>
      </c>
      <c r="J478">
        <v>430</v>
      </c>
      <c r="K478">
        <v>435000</v>
      </c>
      <c r="L478" t="s">
        <v>28</v>
      </c>
      <c r="M478">
        <v>350000</v>
      </c>
      <c r="N478">
        <v>0</v>
      </c>
      <c r="O478" t="s">
        <v>29</v>
      </c>
      <c r="P478" t="s">
        <v>98</v>
      </c>
      <c r="Q478" t="s">
        <v>43</v>
      </c>
      <c r="R478" t="s">
        <v>24</v>
      </c>
      <c r="S478" t="s">
        <v>43</v>
      </c>
      <c r="U478">
        <v>1011.6279069767442</v>
      </c>
      <c r="W478">
        <v>813.95348837209303</v>
      </c>
      <c r="X478">
        <f ca="1">IF(ISNUMBER(properties[[#This Row],[archivedDate]]),properties[[#This Row],[archivedDate]]-properties[[#This Row],[addedDate]],TODAY()-properties[[#This Row],[addedDate]])</f>
        <v>22</v>
      </c>
      <c r="Y478">
        <f ca="1">IF(ISNUMBER(properties[[#This Row],[archivedDate]]),properties[[#This Row],[archivedDate]]-properties[[#This Row],[addedDate]],TODAY()-properties[[#This Row],[addedDate]])</f>
        <v>22</v>
      </c>
    </row>
    <row r="479" spans="1:25" x14ac:dyDescent="0.25">
      <c r="A479" s="1">
        <v>46100</v>
      </c>
      <c r="B479" t="s">
        <v>1691</v>
      </c>
      <c r="C479" t="s">
        <v>24</v>
      </c>
      <c r="D479" s="1">
        <v>46107</v>
      </c>
      <c r="E479" t="s">
        <v>34</v>
      </c>
      <c r="F479">
        <v>2</v>
      </c>
      <c r="G479" t="s">
        <v>1692</v>
      </c>
      <c r="H479" t="s">
        <v>1693</v>
      </c>
      <c r="I479">
        <v>182</v>
      </c>
      <c r="J479">
        <v>500</v>
      </c>
      <c r="K479">
        <v>4100000</v>
      </c>
      <c r="L479" t="s">
        <v>28</v>
      </c>
      <c r="M479">
        <v>3995000</v>
      </c>
      <c r="N479">
        <v>0</v>
      </c>
      <c r="O479" t="s">
        <v>103</v>
      </c>
      <c r="P479" t="s">
        <v>30</v>
      </c>
      <c r="Q479" t="s">
        <v>43</v>
      </c>
      <c r="R479" t="s">
        <v>24</v>
      </c>
      <c r="S479" t="s">
        <v>1339</v>
      </c>
      <c r="T479">
        <v>22527.472527472528</v>
      </c>
      <c r="U479">
        <v>8200</v>
      </c>
      <c r="V479">
        <v>21950.54945054945</v>
      </c>
      <c r="W479">
        <v>7990</v>
      </c>
      <c r="X479">
        <f ca="1">IF(ISNUMBER(properties[[#This Row],[archivedDate]]),properties[[#This Row],[archivedDate]]-properties[[#This Row],[addedDate]],TODAY()-properties[[#This Row],[addedDate]])</f>
        <v>7</v>
      </c>
      <c r="Y479">
        <f ca="1">IF(ISNUMBER(properties[[#This Row],[archivedDate]]),properties[[#This Row],[archivedDate]]-properties[[#This Row],[addedDate]],TODAY()-properties[[#This Row],[addedDate]])</f>
        <v>7</v>
      </c>
    </row>
    <row r="480" spans="1:25" x14ac:dyDescent="0.25">
      <c r="A480" s="1">
        <v>46106</v>
      </c>
      <c r="B480" t="s">
        <v>1694</v>
      </c>
      <c r="C480" t="s">
        <v>24</v>
      </c>
      <c r="D480" s="1"/>
      <c r="E480" t="s">
        <v>316</v>
      </c>
      <c r="F480">
        <v>1</v>
      </c>
      <c r="G480" t="s">
        <v>1695</v>
      </c>
      <c r="H480" t="s">
        <v>1696</v>
      </c>
      <c r="I480">
        <v>79</v>
      </c>
      <c r="J480">
        <v>0</v>
      </c>
      <c r="K480">
        <v>0</v>
      </c>
      <c r="L480" t="s">
        <v>28</v>
      </c>
      <c r="M480">
        <v>2995000</v>
      </c>
      <c r="N480">
        <v>0</v>
      </c>
      <c r="O480" t="s">
        <v>29</v>
      </c>
      <c r="P480" t="s">
        <v>75</v>
      </c>
      <c r="Q480" t="s">
        <v>43</v>
      </c>
      <c r="R480" t="s">
        <v>24</v>
      </c>
      <c r="S480" t="s">
        <v>1592</v>
      </c>
      <c r="V480">
        <v>37911.392405063292</v>
      </c>
      <c r="X480">
        <f ca="1">IF(ISNUMBER(properties[[#This Row],[archivedDate]]),properties[[#This Row],[archivedDate]]-properties[[#This Row],[addedDate]],TODAY()-properties[[#This Row],[addedDate]])</f>
        <v>13</v>
      </c>
      <c r="Y480">
        <f ca="1">IF(ISNUMBER(properties[[#This Row],[archivedDate]]),properties[[#This Row],[archivedDate]]-properties[[#This Row],[addedDate]],TODAY()-properties[[#This Row],[addedDate]])</f>
        <v>13</v>
      </c>
    </row>
    <row r="481" spans="1:25" x14ac:dyDescent="0.25">
      <c r="A481" s="1">
        <v>46108</v>
      </c>
      <c r="B481" t="s">
        <v>1697</v>
      </c>
      <c r="C481" t="s">
        <v>24</v>
      </c>
      <c r="D481" s="1"/>
      <c r="E481" t="s">
        <v>405</v>
      </c>
      <c r="F481">
        <v>2</v>
      </c>
      <c r="G481" t="s">
        <v>1698</v>
      </c>
      <c r="H481" t="s">
        <v>1699</v>
      </c>
      <c r="I481">
        <v>235</v>
      </c>
      <c r="J481">
        <v>383</v>
      </c>
      <c r="K481">
        <v>0</v>
      </c>
      <c r="L481" t="s">
        <v>28</v>
      </c>
      <c r="M481">
        <v>2195000</v>
      </c>
      <c r="N481">
        <v>0</v>
      </c>
      <c r="O481" t="s">
        <v>29</v>
      </c>
      <c r="P481" t="s">
        <v>30</v>
      </c>
      <c r="Q481" t="s">
        <v>43</v>
      </c>
      <c r="R481" t="s">
        <v>24</v>
      </c>
      <c r="S481" t="s">
        <v>1700</v>
      </c>
      <c r="V481">
        <v>9340.4255319148942</v>
      </c>
      <c r="W481">
        <v>5731.070496083551</v>
      </c>
      <c r="X481">
        <f ca="1">IF(ISNUMBER(properties[[#This Row],[archivedDate]]),properties[[#This Row],[archivedDate]]-properties[[#This Row],[addedDate]],TODAY()-properties[[#This Row],[addedDate]])</f>
        <v>11</v>
      </c>
      <c r="Y481">
        <f ca="1">IF(ISNUMBER(properties[[#This Row],[archivedDate]]),properties[[#This Row],[archivedDate]]-properties[[#This Row],[addedDate]],TODAY()-properties[[#This Row],[addedDate]])</f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83"/>
  <sheetViews>
    <sheetView tabSelected="1" workbookViewId="0">
      <selection activeCell="M35" sqref="M35"/>
    </sheetView>
  </sheetViews>
  <sheetFormatPr defaultRowHeight="15" x14ac:dyDescent="0.25"/>
  <cols>
    <col min="2" max="2" width="16.140625" bestFit="1" customWidth="1"/>
    <col min="3" max="3" width="13.28515625" bestFit="1" customWidth="1"/>
    <col min="4" max="4" width="14.28515625" bestFit="1" customWidth="1"/>
    <col min="5" max="5" width="11.5703125" bestFit="1" customWidth="1"/>
    <col min="6" max="6" width="14.28515625" bestFit="1" customWidth="1"/>
    <col min="7" max="7" width="11.5703125" bestFit="1" customWidth="1"/>
    <col min="8" max="8" width="9.28515625" bestFit="1" customWidth="1"/>
  </cols>
  <sheetData>
    <row r="4" spans="2:8" x14ac:dyDescent="0.25">
      <c r="B4" s="4" t="str" cm="1">
        <f t="array" aca="1" ref="B4:H82" ca="1">_xlfn.LET(
_xlpm.filterdata, (properties[type]="Sethus"),
_xlpm.city, _xlfn.UNIQUE(properties[city]),
_xlpm.countPrice, _xlfn.BYROW(_xlpm.city,_xlfn.LAMBDA(_xlpm.x,COUNTA(_xlfn._xlws.FILTER(properties[price],(properties[city]=_xlpm.x)*_xlpm.filterdata,0)))),
_xlpm.avgPrice, _xlfn.BYROW(_xlpm.city,_xlfn.LAMBDA(_xlpm.x,AVERAGE(_xlfn._xlws.FILTER(properties[price],(properties[city]=_xlpm.x)*_xlpm.filterdata,0)))),
_xlpm.avgPriceM2, _xlfn.BYROW(_xlpm.city,_xlfn.LAMBDA(_xlpm.x,AVERAGE(_xlfn._xlws.FILTER(properties[priceM2In],(properties[city]=_xlpm.x)*_xlpm.filterdata,0)))),
_xlpm.avgOffer, _xlfn.BYROW(_xlpm.city,_xlfn.LAMBDA(_xlpm.x,AVERAGE(_xlfn._xlws.FILTER(properties[latestOffer],(properties[city]=_xlpm.x)*_xlpm.filterdata,0)))),
_xlpm.avgOfferM2, _xlfn.BYROW(_xlpm.city,_xlfn.LAMBDA(_xlpm.x,AVERAGE(_xlfn._xlws.FILTER(properties[offerM2In],(properties[city]=_xlpm.x)*_xlpm.filterdata,0)))),
_xlpm.daysOpen, _xlfn.BYROW(_xlpm.city,_xlfn.LAMBDA(_xlpm.x,AVERAGE(_xlfn._xlws.FILTER(properties[daysOpen],(properties[city]=_xlpm.x)*_xlpm.filterdata,0)))),
_xlpm.data, _xlfn.HSTACK(_xlpm.city,_xlpm.countPrice,_xlpm.avgPrice,_xlpm.avgPriceM2,_xlpm.avgOffer,_xlpm.avgOfferM2,_xlpm.daysOpen),
_xlpm.datasorted, _xlfn.SORTBY(_xlpm.data,_xlpm.avgPriceM2,-1),
_xlpm.header,{"City","Qty","Price","PriceM2","Offer","OfferM2","DaysOpen"},
_xlpm.result, _xlfn.VSTACK(_xlpm.header,_xlpm.datasorted),
_xlpm.result
)</f>
        <v>City</v>
      </c>
      <c r="C4" s="5" t="str">
        <f ca="1"/>
        <v>Qty</v>
      </c>
      <c r="D4" s="6" t="str">
        <f ca="1"/>
        <v>Price</v>
      </c>
      <c r="E4" s="6" t="str">
        <f ca="1"/>
        <v>PriceM2</v>
      </c>
      <c r="F4" s="4" t="str">
        <f ca="1"/>
        <v>Offer</v>
      </c>
      <c r="G4" s="4" t="str">
        <f ca="1"/>
        <v>OfferM2</v>
      </c>
      <c r="H4" s="4" t="str">
        <f ca="1"/>
        <v>DaysOpen</v>
      </c>
    </row>
    <row r="5" spans="2:8" x14ac:dyDescent="0.25">
      <c r="B5" t="str">
        <f ca="1"/>
        <v>Nólsoy</v>
      </c>
      <c r="C5" s="3">
        <f ca="1"/>
        <v>1</v>
      </c>
      <c r="D5" s="3">
        <f ca="1"/>
        <v>1200000</v>
      </c>
      <c r="E5" s="3">
        <f ca="1"/>
        <v>34285.714285714283</v>
      </c>
      <c r="F5" s="3">
        <f ca="1"/>
        <v>950000</v>
      </c>
      <c r="G5" s="3">
        <f ca="1"/>
        <v>27142.857142857141</v>
      </c>
      <c r="H5" s="3">
        <f ca="1"/>
        <v>42</v>
      </c>
    </row>
    <row r="6" spans="2:8" x14ac:dyDescent="0.25">
      <c r="B6" t="str">
        <f ca="1"/>
        <v>210</v>
      </c>
      <c r="C6" s="3">
        <f ca="1"/>
        <v>1</v>
      </c>
      <c r="D6" s="3">
        <f ca="1"/>
        <v>2900000</v>
      </c>
      <c r="E6" s="3">
        <f ca="1"/>
        <v>29000</v>
      </c>
      <c r="F6" s="3">
        <f ca="1"/>
        <v>0</v>
      </c>
      <c r="G6" s="3" t="e">
        <f ca="1"/>
        <v>#DIV/0!</v>
      </c>
      <c r="H6" s="3">
        <f ca="1"/>
        <v>4</v>
      </c>
    </row>
    <row r="7" spans="2:8" x14ac:dyDescent="0.25">
      <c r="B7" t="str">
        <f ca="1"/>
        <v>Skipanes</v>
      </c>
      <c r="C7" s="3">
        <f ca="1"/>
        <v>1</v>
      </c>
      <c r="D7" s="3">
        <f ca="1"/>
        <v>3600000</v>
      </c>
      <c r="E7" s="3">
        <f ca="1"/>
        <v>27272.727272727272</v>
      </c>
      <c r="F7" s="3">
        <f ca="1"/>
        <v>0</v>
      </c>
      <c r="G7" s="3" t="e">
        <f ca="1"/>
        <v>#DIV/0!</v>
      </c>
      <c r="H7" s="3">
        <f ca="1"/>
        <v>141</v>
      </c>
    </row>
    <row r="8" spans="2:8" x14ac:dyDescent="0.25">
      <c r="B8" t="str">
        <f ca="1"/>
        <v>Hoyvík</v>
      </c>
      <c r="C8" s="3">
        <f ca="1"/>
        <v>6</v>
      </c>
      <c r="D8" s="3">
        <f ca="1"/>
        <v>5805000</v>
      </c>
      <c r="E8" s="3">
        <f ca="1"/>
        <v>26604.67549765464</v>
      </c>
      <c r="F8" s="3">
        <f ca="1"/>
        <v>2982500</v>
      </c>
      <c r="G8" s="3">
        <f ca="1"/>
        <v>25853.704137936507</v>
      </c>
      <c r="H8" s="3">
        <f ca="1"/>
        <v>40.166666666666664</v>
      </c>
    </row>
    <row r="9" spans="2:8" x14ac:dyDescent="0.25">
      <c r="B9" t="str">
        <f ca="1"/>
        <v>Argir</v>
      </c>
      <c r="C9" s="3">
        <f ca="1"/>
        <v>7</v>
      </c>
      <c r="D9" s="3">
        <f ca="1"/>
        <v>4489285.7142857146</v>
      </c>
      <c r="E9" s="3">
        <f ca="1"/>
        <v>24105.10121675755</v>
      </c>
      <c r="F9" s="3">
        <f ca="1"/>
        <v>2485714.2857142859</v>
      </c>
      <c r="G9" s="3">
        <f ca="1"/>
        <v>24899.82047322662</v>
      </c>
      <c r="H9" s="3">
        <f ca="1"/>
        <v>95</v>
      </c>
    </row>
    <row r="10" spans="2:8" x14ac:dyDescent="0.25">
      <c r="B10" t="str">
        <f ca="1"/>
        <v>Tórshavn</v>
      </c>
      <c r="C10" s="3">
        <f ca="1"/>
        <v>52</v>
      </c>
      <c r="D10" s="3">
        <f ca="1"/>
        <v>4647307.692307692</v>
      </c>
      <c r="E10" s="3">
        <f ca="1"/>
        <v>23792.24814085133</v>
      </c>
      <c r="F10" s="3">
        <f ca="1"/>
        <v>3359519.230769231</v>
      </c>
      <c r="G10" s="3">
        <f ca="1"/>
        <v>23908.980487126464</v>
      </c>
      <c r="H10" s="3">
        <f ca="1"/>
        <v>70.557692307692307</v>
      </c>
    </row>
    <row r="11" spans="2:8" x14ac:dyDescent="0.25">
      <c r="B11" t="str">
        <f ca="1"/>
        <v>Hvítanes</v>
      </c>
      <c r="C11" s="3">
        <f ca="1"/>
        <v>1</v>
      </c>
      <c r="D11" s="3">
        <f ca="1"/>
        <v>4350000</v>
      </c>
      <c r="E11" s="3">
        <f ca="1"/>
        <v>23770.491803278688</v>
      </c>
      <c r="F11" s="3">
        <f ca="1"/>
        <v>4350000</v>
      </c>
      <c r="G11" s="3">
        <f ca="1"/>
        <v>23770.491803278688</v>
      </c>
      <c r="H11" s="3">
        <f ca="1"/>
        <v>52</v>
      </c>
    </row>
    <row r="12" spans="2:8" x14ac:dyDescent="0.25">
      <c r="B12" t="str">
        <f ca="1"/>
        <v>Kvívík</v>
      </c>
      <c r="C12" s="3">
        <f ca="1"/>
        <v>3</v>
      </c>
      <c r="D12" s="3">
        <f ca="1"/>
        <v>2830000</v>
      </c>
      <c r="E12" s="3">
        <f ca="1"/>
        <v>23652.403414195869</v>
      </c>
      <c r="F12" s="3">
        <f ca="1"/>
        <v>2331666.6666666665</v>
      </c>
      <c r="G12" s="3">
        <f ca="1"/>
        <v>20882.562144354597</v>
      </c>
      <c r="H12" s="3">
        <f ca="1"/>
        <v>141.66666666666666</v>
      </c>
    </row>
    <row r="13" spans="2:8" x14ac:dyDescent="0.25">
      <c r="B13" t="str">
        <f ca="1"/>
        <v>Kirkjubøur</v>
      </c>
      <c r="C13" s="3">
        <f ca="1"/>
        <v>1</v>
      </c>
      <c r="D13" s="3">
        <f ca="1"/>
        <v>4995000</v>
      </c>
      <c r="E13" s="3">
        <f ca="1"/>
        <v>23341.121495327101</v>
      </c>
      <c r="F13" s="3">
        <f ca="1"/>
        <v>0</v>
      </c>
      <c r="G13" s="3" t="e">
        <f ca="1"/>
        <v>#DIV/0!</v>
      </c>
      <c r="H13" s="3">
        <f ca="1"/>
        <v>6</v>
      </c>
    </row>
    <row r="14" spans="2:8" x14ac:dyDescent="0.25">
      <c r="B14" t="str">
        <f ca="1"/>
        <v>Leynar</v>
      </c>
      <c r="C14" s="3">
        <f ca="1"/>
        <v>4</v>
      </c>
      <c r="D14" s="3">
        <f ca="1"/>
        <v>2083750</v>
      </c>
      <c r="E14" s="3">
        <f ca="1"/>
        <v>23174.324070980434</v>
      </c>
      <c r="F14" s="3">
        <f ca="1"/>
        <v>1467750</v>
      </c>
      <c r="G14" s="3">
        <f ca="1"/>
        <v>18263.233965672989</v>
      </c>
      <c r="H14" s="3">
        <f ca="1"/>
        <v>85</v>
      </c>
    </row>
    <row r="15" spans="2:8" x14ac:dyDescent="0.25">
      <c r="B15" t="str">
        <f ca="1"/>
        <v>Bøur</v>
      </c>
      <c r="C15" s="3">
        <f ca="1"/>
        <v>1</v>
      </c>
      <c r="D15" s="3">
        <f ca="1"/>
        <v>4500000</v>
      </c>
      <c r="E15" s="3">
        <f ca="1"/>
        <v>21428.571428571428</v>
      </c>
      <c r="F15" s="3">
        <f ca="1"/>
        <v>0</v>
      </c>
      <c r="G15" s="3" t="e">
        <f ca="1"/>
        <v>#DIV/0!</v>
      </c>
      <c r="H15" s="3">
        <f ca="1"/>
        <v>1</v>
      </c>
    </row>
    <row r="16" spans="2:8" x14ac:dyDescent="0.25">
      <c r="B16" t="str">
        <f ca="1"/>
        <v>Mykines</v>
      </c>
      <c r="C16" s="3">
        <f ca="1"/>
        <v>1</v>
      </c>
      <c r="D16" s="3">
        <f ca="1"/>
        <v>2495000</v>
      </c>
      <c r="E16" s="3">
        <f ca="1"/>
        <v>20619.834710743802</v>
      </c>
      <c r="F16" s="3">
        <f ca="1"/>
        <v>1800000</v>
      </c>
      <c r="G16" s="3">
        <f ca="1"/>
        <v>14876.03305785124</v>
      </c>
      <c r="H16" s="3">
        <f ca="1"/>
        <v>78</v>
      </c>
    </row>
    <row r="17" spans="2:8" x14ac:dyDescent="0.25">
      <c r="B17" t="str">
        <f ca="1"/>
        <v>Langasandur</v>
      </c>
      <c r="C17" s="3">
        <f ca="1"/>
        <v>1</v>
      </c>
      <c r="D17" s="3">
        <f ca="1"/>
        <v>1695000</v>
      </c>
      <c r="E17" s="3">
        <f ca="1"/>
        <v>20178.571428571428</v>
      </c>
      <c r="F17" s="3">
        <f ca="1"/>
        <v>1850000</v>
      </c>
      <c r="G17" s="3">
        <f ca="1"/>
        <v>22023.809523809523</v>
      </c>
      <c r="H17" s="3">
        <f ca="1"/>
        <v>22</v>
      </c>
    </row>
    <row r="18" spans="2:8" x14ac:dyDescent="0.25">
      <c r="B18" t="str">
        <f ca="1"/>
        <v>Velbastaður</v>
      </c>
      <c r="C18" s="3">
        <f ca="1"/>
        <v>2</v>
      </c>
      <c r="D18" s="3">
        <f ca="1"/>
        <v>3025000</v>
      </c>
      <c r="E18" s="3">
        <f ca="1"/>
        <v>19706.679970322613</v>
      </c>
      <c r="F18" s="3">
        <f ca="1"/>
        <v>2300000</v>
      </c>
      <c r="G18" s="3">
        <f ca="1"/>
        <v>11886.304909560724</v>
      </c>
      <c r="H18" s="3">
        <f ca="1"/>
        <v>75</v>
      </c>
    </row>
    <row r="19" spans="2:8" x14ac:dyDescent="0.25">
      <c r="B19" t="str">
        <f ca="1"/>
        <v>Sandur</v>
      </c>
      <c r="C19" s="3">
        <f ca="1"/>
        <v>4</v>
      </c>
      <c r="D19" s="3">
        <f ca="1"/>
        <v>2185000</v>
      </c>
      <c r="E19" s="3">
        <f ca="1"/>
        <v>17563.829473926584</v>
      </c>
      <c r="F19" s="3">
        <f ca="1"/>
        <v>800000</v>
      </c>
      <c r="G19" s="3">
        <f ca="1"/>
        <v>12400.168137873055</v>
      </c>
      <c r="H19" s="3">
        <f ca="1"/>
        <v>207.25</v>
      </c>
    </row>
    <row r="20" spans="2:8" x14ac:dyDescent="0.25">
      <c r="B20" t="str">
        <f ca="1"/>
        <v>Strendur</v>
      </c>
      <c r="C20" s="3">
        <f ca="1"/>
        <v>5</v>
      </c>
      <c r="D20" s="3">
        <f ca="1"/>
        <v>2716000</v>
      </c>
      <c r="E20" s="3">
        <f ca="1"/>
        <v>17537.845421246726</v>
      </c>
      <c r="F20" s="3">
        <f ca="1"/>
        <v>2480000</v>
      </c>
      <c r="G20" s="3">
        <f ca="1"/>
        <v>15882.468130427445</v>
      </c>
      <c r="H20" s="3">
        <f ca="1"/>
        <v>60.4</v>
      </c>
    </row>
    <row r="21" spans="2:8" x14ac:dyDescent="0.25">
      <c r="B21" t="str">
        <f ca="1"/>
        <v>Skálavík</v>
      </c>
      <c r="C21" s="3">
        <f ca="1"/>
        <v>4</v>
      </c>
      <c r="D21" s="3">
        <f ca="1"/>
        <v>1871250</v>
      </c>
      <c r="E21" s="3">
        <f ca="1"/>
        <v>17046.173063036636</v>
      </c>
      <c r="F21" s="3">
        <f ca="1"/>
        <v>1650000</v>
      </c>
      <c r="G21" s="3">
        <f ca="1"/>
        <v>15390.679240242345</v>
      </c>
      <c r="H21" s="3">
        <f ca="1"/>
        <v>164.5</v>
      </c>
    </row>
    <row r="22" spans="2:8" x14ac:dyDescent="0.25">
      <c r="B22" t="str">
        <f ca="1"/>
        <v>Klaksvík</v>
      </c>
      <c r="C22" s="3">
        <f ca="1"/>
        <v>19</v>
      </c>
      <c r="D22" s="3">
        <f ca="1"/>
        <v>2748421.0526315789</v>
      </c>
      <c r="E22" s="3">
        <f ca="1"/>
        <v>16615.202264101292</v>
      </c>
      <c r="F22" s="3">
        <f ca="1"/>
        <v>2076052.6315789474</v>
      </c>
      <c r="G22" s="3">
        <f ca="1"/>
        <v>15311.373525106155</v>
      </c>
      <c r="H22" s="3">
        <f ca="1"/>
        <v>54.421052631578945</v>
      </c>
    </row>
    <row r="23" spans="2:8" x14ac:dyDescent="0.25">
      <c r="B23" t="str">
        <f ca="1"/>
        <v>Innan Glyvur</v>
      </c>
      <c r="C23" s="3">
        <f ca="1"/>
        <v>1</v>
      </c>
      <c r="D23" s="3">
        <f ca="1"/>
        <v>1250000</v>
      </c>
      <c r="E23" s="3">
        <f ca="1"/>
        <v>16233.766233766233</v>
      </c>
      <c r="F23" s="3">
        <f ca="1"/>
        <v>1000000</v>
      </c>
      <c r="G23" s="3">
        <f ca="1"/>
        <v>12987.012987012988</v>
      </c>
      <c r="H23" s="3">
        <f ca="1"/>
        <v>48</v>
      </c>
    </row>
    <row r="24" spans="2:8" x14ac:dyDescent="0.25">
      <c r="B24" t="str">
        <f ca="1"/>
        <v>Syðrugøta</v>
      </c>
      <c r="C24" s="3">
        <f ca="1"/>
        <v>3</v>
      </c>
      <c r="D24" s="3">
        <f ca="1"/>
        <v>2430000</v>
      </c>
      <c r="E24" s="3">
        <f ca="1"/>
        <v>16108.495981630309</v>
      </c>
      <c r="F24" s="3">
        <f ca="1"/>
        <v>2548333.3333333335</v>
      </c>
      <c r="G24" s="3">
        <f ca="1"/>
        <v>16935.053707151765</v>
      </c>
      <c r="H24" s="3">
        <f ca="1"/>
        <v>43.333333333333336</v>
      </c>
    </row>
    <row r="25" spans="2:8" x14ac:dyDescent="0.25">
      <c r="B25" t="str">
        <f ca="1"/>
        <v>Ljósá</v>
      </c>
      <c r="C25" s="3">
        <f ca="1"/>
        <v>1</v>
      </c>
      <c r="D25" s="3">
        <f ca="1"/>
        <v>1295000</v>
      </c>
      <c r="E25" s="3">
        <f ca="1"/>
        <v>15416.666666666666</v>
      </c>
      <c r="F25" s="3">
        <f ca="1"/>
        <v>1000000</v>
      </c>
      <c r="G25" s="3">
        <f ca="1"/>
        <v>11904.761904761905</v>
      </c>
      <c r="H25" s="3">
        <f ca="1"/>
        <v>47</v>
      </c>
    </row>
    <row r="26" spans="2:8" x14ac:dyDescent="0.25">
      <c r="B26" t="str">
        <f ca="1"/>
        <v>Norðragøta</v>
      </c>
      <c r="C26" s="3">
        <f ca="1"/>
        <v>1</v>
      </c>
      <c r="D26" s="3">
        <f ca="1"/>
        <v>2495000</v>
      </c>
      <c r="E26" s="3">
        <f ca="1"/>
        <v>15401.234567901234</v>
      </c>
      <c r="F26" s="3">
        <f ca="1"/>
        <v>2350000</v>
      </c>
      <c r="G26" s="3">
        <f ca="1"/>
        <v>14506.172839506173</v>
      </c>
      <c r="H26" s="3">
        <f ca="1"/>
        <v>70</v>
      </c>
    </row>
    <row r="27" spans="2:8" x14ac:dyDescent="0.25">
      <c r="B27" t="str">
        <f ca="1"/>
        <v>Nes</v>
      </c>
      <c r="C27" s="3">
        <f ca="1"/>
        <v>2</v>
      </c>
      <c r="D27" s="3">
        <f ca="1"/>
        <v>2870000</v>
      </c>
      <c r="E27" s="3">
        <f ca="1"/>
        <v>15391.057027649767</v>
      </c>
      <c r="F27" s="3">
        <f ca="1"/>
        <v>0</v>
      </c>
      <c r="G27" s="3" t="e">
        <f ca="1"/>
        <v>#DIV/0!</v>
      </c>
      <c r="H27" s="3">
        <f ca="1"/>
        <v>60.5</v>
      </c>
    </row>
    <row r="28" spans="2:8" x14ac:dyDescent="0.25">
      <c r="B28" t="str">
        <f ca="1"/>
        <v>Toftir</v>
      </c>
      <c r="C28" s="3">
        <f ca="1"/>
        <v>5</v>
      </c>
      <c r="D28" s="3">
        <f ca="1"/>
        <v>2936000</v>
      </c>
      <c r="E28" s="3">
        <f ca="1"/>
        <v>15345.777859340847</v>
      </c>
      <c r="F28" s="3">
        <f ca="1"/>
        <v>1860000</v>
      </c>
      <c r="G28" s="3">
        <f ca="1"/>
        <v>14755.955985833005</v>
      </c>
      <c r="H28" s="3">
        <f ca="1"/>
        <v>109.4</v>
      </c>
    </row>
    <row r="29" spans="2:8" x14ac:dyDescent="0.25">
      <c r="B29" t="str">
        <f ca="1"/>
        <v>Viðareiði</v>
      </c>
      <c r="C29" s="3">
        <f ca="1"/>
        <v>2</v>
      </c>
      <c r="D29" s="3">
        <f ca="1"/>
        <v>2472500</v>
      </c>
      <c r="E29" s="3">
        <f ca="1"/>
        <v>15274.746995572423</v>
      </c>
      <c r="F29" s="3">
        <f ca="1"/>
        <v>997500</v>
      </c>
      <c r="G29" s="3">
        <f ca="1"/>
        <v>16088.709677419354</v>
      </c>
      <c r="H29" s="3">
        <f ca="1"/>
        <v>62</v>
      </c>
    </row>
    <row r="30" spans="2:8" x14ac:dyDescent="0.25">
      <c r="B30" t="str">
        <f ca="1"/>
        <v>Norðskáli</v>
      </c>
      <c r="C30" s="3">
        <f ca="1"/>
        <v>2</v>
      </c>
      <c r="D30" s="3">
        <f ca="1"/>
        <v>3222500</v>
      </c>
      <c r="E30" s="3">
        <f ca="1"/>
        <v>15063.740028047912</v>
      </c>
      <c r="F30" s="3">
        <f ca="1"/>
        <v>3150000</v>
      </c>
      <c r="G30" s="3">
        <f ca="1"/>
        <v>14986.090994781249</v>
      </c>
      <c r="H30" s="3">
        <f ca="1"/>
        <v>166</v>
      </c>
    </row>
    <row r="31" spans="2:8" x14ac:dyDescent="0.25">
      <c r="B31" t="str">
        <f ca="1"/>
        <v>Trongisvágur</v>
      </c>
      <c r="C31" s="3">
        <f ca="1"/>
        <v>2</v>
      </c>
      <c r="D31" s="3">
        <f ca="1"/>
        <v>2422500</v>
      </c>
      <c r="E31" s="3">
        <f ca="1"/>
        <v>14587.602695467553</v>
      </c>
      <c r="F31" s="3">
        <f ca="1"/>
        <v>2450000</v>
      </c>
      <c r="G31" s="3">
        <f ca="1"/>
        <v>14528.139327363919</v>
      </c>
      <c r="H31" s="3">
        <f ca="1"/>
        <v>32</v>
      </c>
    </row>
    <row r="32" spans="2:8" x14ac:dyDescent="0.25">
      <c r="B32" t="str">
        <f ca="1"/>
        <v>Æðuvík</v>
      </c>
      <c r="C32" s="3">
        <f ca="1"/>
        <v>1</v>
      </c>
      <c r="D32" s="3">
        <f ca="1"/>
        <v>1795000</v>
      </c>
      <c r="E32" s="3">
        <f ca="1"/>
        <v>14133.858267716536</v>
      </c>
      <c r="F32" s="3">
        <f ca="1"/>
        <v>1795000</v>
      </c>
      <c r="G32" s="3">
        <f ca="1"/>
        <v>14133.858267716536</v>
      </c>
      <c r="H32" s="3">
        <f ca="1"/>
        <v>20</v>
      </c>
    </row>
    <row r="33" spans="2:8" x14ac:dyDescent="0.25">
      <c r="B33" t="str">
        <f ca="1"/>
        <v>Sørvágur</v>
      </c>
      <c r="C33" s="3">
        <f ca="1"/>
        <v>4</v>
      </c>
      <c r="D33" s="3">
        <f ca="1"/>
        <v>2186250</v>
      </c>
      <c r="E33" s="3">
        <f ca="1"/>
        <v>13825.231588538574</v>
      </c>
      <c r="F33" s="3">
        <f ca="1"/>
        <v>1462500</v>
      </c>
      <c r="G33" s="3">
        <f ca="1"/>
        <v>15810.127879444903</v>
      </c>
      <c r="H33" s="3">
        <f ca="1"/>
        <v>31.25</v>
      </c>
    </row>
    <row r="34" spans="2:8" x14ac:dyDescent="0.25">
      <c r="B34" t="str">
        <f ca="1"/>
        <v xml:space="preserve">Hvalvík </v>
      </c>
      <c r="C34" s="3">
        <f ca="1"/>
        <v>2</v>
      </c>
      <c r="D34" s="3">
        <f ca="1"/>
        <v>3150000</v>
      </c>
      <c r="E34" s="3">
        <f ca="1"/>
        <v>13815.78947368421</v>
      </c>
      <c r="F34" s="3">
        <f ca="1"/>
        <v>0</v>
      </c>
      <c r="G34" s="3" t="e">
        <f ca="1"/>
        <v>#DIV/0!</v>
      </c>
      <c r="H34" s="3">
        <f ca="1"/>
        <v>107.5</v>
      </c>
    </row>
    <row r="35" spans="2:8" x14ac:dyDescent="0.25">
      <c r="B35" t="str">
        <f ca="1"/>
        <v>Sandavágur</v>
      </c>
      <c r="C35" s="3">
        <f ca="1"/>
        <v>10</v>
      </c>
      <c r="D35" s="3">
        <f ca="1"/>
        <v>2194500</v>
      </c>
      <c r="E35" s="3">
        <f ca="1"/>
        <v>13316.820381337811</v>
      </c>
      <c r="F35" s="3">
        <f ca="1"/>
        <v>1240000</v>
      </c>
      <c r="G35" s="3">
        <f ca="1"/>
        <v>13907.967064035694</v>
      </c>
      <c r="H35" s="3">
        <f ca="1"/>
        <v>66.5</v>
      </c>
    </row>
    <row r="36" spans="2:8" x14ac:dyDescent="0.25">
      <c r="B36" t="str">
        <f ca="1"/>
        <v>Kaldbak</v>
      </c>
      <c r="C36" s="3">
        <f ca="1"/>
        <v>1</v>
      </c>
      <c r="D36" s="3">
        <f ca="1"/>
        <v>3995000</v>
      </c>
      <c r="E36" s="3">
        <f ca="1"/>
        <v>13272.425249169435</v>
      </c>
      <c r="F36" s="3">
        <f ca="1"/>
        <v>4400000</v>
      </c>
      <c r="G36" s="3">
        <f ca="1"/>
        <v>14617.940199335548</v>
      </c>
      <c r="H36" s="3">
        <f ca="1"/>
        <v>88</v>
      </c>
    </row>
    <row r="37" spans="2:8" x14ac:dyDescent="0.25">
      <c r="B37" t="str">
        <f ca="1"/>
        <v>Leirvík</v>
      </c>
      <c r="C37" s="3">
        <f ca="1"/>
        <v>4</v>
      </c>
      <c r="D37" s="3">
        <f ca="1"/>
        <v>1745000</v>
      </c>
      <c r="E37" s="3">
        <f ca="1"/>
        <v>13224.430021275371</v>
      </c>
      <c r="F37" s="3">
        <f ca="1"/>
        <v>1400000</v>
      </c>
      <c r="G37" s="3">
        <f ca="1"/>
        <v>14930.962283903462</v>
      </c>
      <c r="H37" s="3">
        <f ca="1"/>
        <v>114.5</v>
      </c>
    </row>
    <row r="38" spans="2:8" x14ac:dyDescent="0.25">
      <c r="B38" t="str">
        <f ca="1"/>
        <v>Rituvík</v>
      </c>
      <c r="C38" s="3">
        <f ca="1"/>
        <v>2</v>
      </c>
      <c r="D38" s="3">
        <f ca="1"/>
        <v>2495000</v>
      </c>
      <c r="E38" s="3">
        <f ca="1"/>
        <v>13024.577167019028</v>
      </c>
      <c r="F38" s="3">
        <f ca="1"/>
        <v>2247500</v>
      </c>
      <c r="G38" s="3">
        <f ca="1"/>
        <v>11585.623678646934</v>
      </c>
      <c r="H38" s="3">
        <f ca="1"/>
        <v>39.5</v>
      </c>
    </row>
    <row r="39" spans="2:8" x14ac:dyDescent="0.25">
      <c r="B39" t="str">
        <f ca="1"/>
        <v>Hvalvík</v>
      </c>
      <c r="C39" s="3">
        <f ca="1"/>
        <v>1</v>
      </c>
      <c r="D39" s="3">
        <f ca="1"/>
        <v>1500000</v>
      </c>
      <c r="E39" s="3">
        <f ca="1"/>
        <v>12931.034482758621</v>
      </c>
      <c r="F39" s="3">
        <f ca="1"/>
        <v>1625000</v>
      </c>
      <c r="G39" s="3">
        <f ca="1"/>
        <v>14008.620689655172</v>
      </c>
      <c r="H39" s="3">
        <f ca="1"/>
        <v>74</v>
      </c>
    </row>
    <row r="40" spans="2:8" x14ac:dyDescent="0.25">
      <c r="B40" t="str">
        <f ca="1"/>
        <v>Fuglafjørður</v>
      </c>
      <c r="C40" s="3">
        <f ca="1"/>
        <v>7</v>
      </c>
      <c r="D40" s="3">
        <f ca="1"/>
        <v>2552857.1428571427</v>
      </c>
      <c r="E40" s="3">
        <f ca="1"/>
        <v>12551.172692951101</v>
      </c>
      <c r="F40" s="3">
        <f ca="1"/>
        <v>1664285.7142857143</v>
      </c>
      <c r="G40" s="3">
        <f ca="1"/>
        <v>13650.844785099698</v>
      </c>
      <c r="H40" s="3">
        <f ca="1"/>
        <v>80.714285714285708</v>
      </c>
    </row>
    <row r="41" spans="2:8" x14ac:dyDescent="0.25">
      <c r="B41" t="str">
        <f ca="1"/>
        <v>Saltangará</v>
      </c>
      <c r="C41" s="3">
        <f ca="1"/>
        <v>7</v>
      </c>
      <c r="D41" s="3">
        <f ca="1"/>
        <v>3342857.1428571427</v>
      </c>
      <c r="E41" s="3">
        <f ca="1"/>
        <v>12052.697793163778</v>
      </c>
      <c r="F41" s="3">
        <f ca="1"/>
        <v>2435000</v>
      </c>
      <c r="G41" s="3">
        <f ca="1"/>
        <v>12533.671120146164</v>
      </c>
      <c r="H41" s="3">
        <f ca="1"/>
        <v>30.714285714285715</v>
      </c>
    </row>
    <row r="42" spans="2:8" x14ac:dyDescent="0.25">
      <c r="B42" t="str">
        <f ca="1"/>
        <v>Runavík</v>
      </c>
      <c r="C42" s="3">
        <f ca="1"/>
        <v>1</v>
      </c>
      <c r="D42" s="3">
        <f ca="1"/>
        <v>3395000</v>
      </c>
      <c r="E42" s="3">
        <f ca="1"/>
        <v>11912.280701754386</v>
      </c>
      <c r="F42" s="3">
        <f ca="1"/>
        <v>3395000</v>
      </c>
      <c r="G42" s="3">
        <f ca="1"/>
        <v>11912.280701754386</v>
      </c>
      <c r="H42" s="3">
        <f ca="1"/>
        <v>39</v>
      </c>
    </row>
    <row r="43" spans="2:8" x14ac:dyDescent="0.25">
      <c r="B43" t="str">
        <f ca="1"/>
        <v>Miðvágur</v>
      </c>
      <c r="C43" s="3">
        <f ca="1"/>
        <v>7</v>
      </c>
      <c r="D43" s="3">
        <f ca="1"/>
        <v>2315428.5714285714</v>
      </c>
      <c r="E43" s="3">
        <f ca="1"/>
        <v>11807.564583611695</v>
      </c>
      <c r="F43" s="3">
        <f ca="1"/>
        <v>1249285.7142857143</v>
      </c>
      <c r="G43" s="3">
        <f ca="1"/>
        <v>11536.116093596409</v>
      </c>
      <c r="H43" s="3">
        <f ca="1"/>
        <v>150.28571428571428</v>
      </c>
    </row>
    <row r="44" spans="2:8" x14ac:dyDescent="0.25">
      <c r="B44" t="str">
        <f ca="1"/>
        <v>Haldórsvík</v>
      </c>
      <c r="C44" s="3">
        <f ca="1"/>
        <v>1</v>
      </c>
      <c r="D44" s="3">
        <f ca="1"/>
        <v>1395000</v>
      </c>
      <c r="E44" s="3">
        <f ca="1"/>
        <v>11722.689075630253</v>
      </c>
      <c r="F44" s="3">
        <f ca="1"/>
        <v>0</v>
      </c>
      <c r="G44" s="3" t="e">
        <f ca="1"/>
        <v>#DIV/0!</v>
      </c>
      <c r="H44" s="3">
        <f ca="1"/>
        <v>14</v>
      </c>
    </row>
    <row r="45" spans="2:8" x14ac:dyDescent="0.25">
      <c r="B45" t="str">
        <f ca="1"/>
        <v>Glyvrar</v>
      </c>
      <c r="C45" s="3">
        <f ca="1"/>
        <v>3</v>
      </c>
      <c r="D45" s="3">
        <f ca="1"/>
        <v>2863333.3333333335</v>
      </c>
      <c r="E45" s="3">
        <f ca="1"/>
        <v>11325.635134845661</v>
      </c>
      <c r="F45" s="3">
        <f ca="1"/>
        <v>2915000</v>
      </c>
      <c r="G45" s="3">
        <f ca="1"/>
        <v>11520.192039928881</v>
      </c>
      <c r="H45" s="3">
        <f ca="1"/>
        <v>53</v>
      </c>
    </row>
    <row r="46" spans="2:8" x14ac:dyDescent="0.25">
      <c r="B46" t="str">
        <f ca="1"/>
        <v>Eiði</v>
      </c>
      <c r="C46" s="3">
        <f ca="1"/>
        <v>3</v>
      </c>
      <c r="D46" s="3">
        <f ca="1"/>
        <v>1546666.6666666667</v>
      </c>
      <c r="E46" s="3">
        <f ca="1"/>
        <v>11077.418926103137</v>
      </c>
      <c r="F46" s="3">
        <f ca="1"/>
        <v>1815000</v>
      </c>
      <c r="G46" s="3">
        <f ca="1"/>
        <v>12777.334751018963</v>
      </c>
      <c r="H46" s="3">
        <f ca="1"/>
        <v>18</v>
      </c>
    </row>
    <row r="47" spans="2:8" x14ac:dyDescent="0.25">
      <c r="B47" t="str">
        <f ca="1"/>
        <v>Søldarfjørður</v>
      </c>
      <c r="C47" s="3">
        <f ca="1"/>
        <v>7</v>
      </c>
      <c r="D47" s="3">
        <f ca="1"/>
        <v>2572857.1428571427</v>
      </c>
      <c r="E47" s="3">
        <f ca="1"/>
        <v>11058.211073668557</v>
      </c>
      <c r="F47" s="3">
        <f ca="1"/>
        <v>1735714.2857142857</v>
      </c>
      <c r="G47" s="3">
        <f ca="1"/>
        <v>10632.438117859178</v>
      </c>
      <c r="H47" s="3">
        <f ca="1"/>
        <v>86.285714285714292</v>
      </c>
    </row>
    <row r="48" spans="2:8" x14ac:dyDescent="0.25">
      <c r="B48" t="str">
        <f ca="1"/>
        <v>Funningur</v>
      </c>
      <c r="C48" s="3">
        <f ca="1"/>
        <v>2</v>
      </c>
      <c r="D48" s="3">
        <f ca="1"/>
        <v>1222500</v>
      </c>
      <c r="E48" s="3">
        <f ca="1"/>
        <v>10965.502148655101</v>
      </c>
      <c r="F48" s="3">
        <f ca="1"/>
        <v>1365000</v>
      </c>
      <c r="G48" s="3">
        <f ca="1"/>
        <v>12322.537004615629</v>
      </c>
      <c r="H48" s="3">
        <f ca="1"/>
        <v>22</v>
      </c>
    </row>
    <row r="49" spans="2:8" x14ac:dyDescent="0.25">
      <c r="B49" t="str">
        <f ca="1"/>
        <v>Skála</v>
      </c>
      <c r="C49" s="3">
        <f ca="1"/>
        <v>4</v>
      </c>
      <c r="D49" s="3">
        <f ca="1"/>
        <v>2078250</v>
      </c>
      <c r="E49" s="3">
        <f ca="1"/>
        <v>10924.528596403596</v>
      </c>
      <c r="F49" s="3">
        <f ca="1"/>
        <v>2075000</v>
      </c>
      <c r="G49" s="3">
        <f ca="1"/>
        <v>10950.976107226106</v>
      </c>
      <c r="H49" s="3">
        <f ca="1"/>
        <v>137.25</v>
      </c>
    </row>
    <row r="50" spans="2:8" x14ac:dyDescent="0.25">
      <c r="B50" t="str">
        <f ca="1"/>
        <v>Vestmanna</v>
      </c>
      <c r="C50" s="3">
        <f ca="1"/>
        <v>11</v>
      </c>
      <c r="D50" s="3">
        <f ca="1"/>
        <v>2662727.2727272729</v>
      </c>
      <c r="E50" s="3">
        <f ca="1"/>
        <v>10836.628785709252</v>
      </c>
      <c r="F50" s="3">
        <f ca="1"/>
        <v>1675000</v>
      </c>
      <c r="G50" s="3">
        <f ca="1"/>
        <v>9752.1244545258505</v>
      </c>
      <c r="H50" s="3">
        <f ca="1"/>
        <v>71.36363636363636</v>
      </c>
    </row>
    <row r="51" spans="2:8" x14ac:dyDescent="0.25">
      <c r="B51" t="str">
        <f ca="1"/>
        <v>Oyndarfjørður</v>
      </c>
      <c r="C51" s="3">
        <f ca="1"/>
        <v>3</v>
      </c>
      <c r="D51" s="3">
        <f ca="1"/>
        <v>1696666.6666666667</v>
      </c>
      <c r="E51" s="3">
        <f ca="1"/>
        <v>10248.53846022737</v>
      </c>
      <c r="F51" s="3">
        <f ca="1"/>
        <v>433333.33333333331</v>
      </c>
      <c r="G51" s="3">
        <f ca="1"/>
        <v>5777.7777777777774</v>
      </c>
      <c r="H51" s="3">
        <f ca="1"/>
        <v>141</v>
      </c>
    </row>
    <row r="52" spans="2:8" x14ac:dyDescent="0.25">
      <c r="B52" t="str">
        <f ca="1"/>
        <v>Froðba</v>
      </c>
      <c r="C52" s="3">
        <f ca="1"/>
        <v>2</v>
      </c>
      <c r="D52" s="3">
        <f ca="1"/>
        <v>2447500</v>
      </c>
      <c r="E52" s="3">
        <f ca="1"/>
        <v>10203.159041394336</v>
      </c>
      <c r="F52" s="3">
        <f ca="1"/>
        <v>1462500</v>
      </c>
      <c r="G52" s="3">
        <f ca="1"/>
        <v>10833.333333333334</v>
      </c>
      <c r="H52" s="3">
        <f ca="1"/>
        <v>160</v>
      </c>
    </row>
    <row r="53" spans="2:8" x14ac:dyDescent="0.25">
      <c r="B53" t="str">
        <f ca="1"/>
        <v>Kollafjørður</v>
      </c>
      <c r="C53" s="3">
        <f ca="1"/>
        <v>4</v>
      </c>
      <c r="D53" s="3">
        <f ca="1"/>
        <v>1360000</v>
      </c>
      <c r="E53" s="3">
        <f ca="1"/>
        <v>10037.878787878788</v>
      </c>
      <c r="F53" s="3">
        <f ca="1"/>
        <v>1068750</v>
      </c>
      <c r="G53" s="3">
        <f ca="1"/>
        <v>10012.175324675325</v>
      </c>
      <c r="H53" s="3">
        <f ca="1"/>
        <v>70.75</v>
      </c>
    </row>
    <row r="54" spans="2:8" x14ac:dyDescent="0.25">
      <c r="B54" t="str">
        <f ca="1"/>
        <v>Tvøroyri - Froðba</v>
      </c>
      <c r="C54" s="3">
        <f ca="1"/>
        <v>1</v>
      </c>
      <c r="D54" s="3">
        <f ca="1"/>
        <v>2950000</v>
      </c>
      <c r="E54" s="3">
        <f ca="1"/>
        <v>9833.3333333333339</v>
      </c>
      <c r="F54" s="3">
        <f ca="1"/>
        <v>3100000</v>
      </c>
      <c r="G54" s="3">
        <f ca="1"/>
        <v>10333.333333333334</v>
      </c>
      <c r="H54" s="3">
        <f ca="1"/>
        <v>176</v>
      </c>
    </row>
    <row r="55" spans="2:8" x14ac:dyDescent="0.25">
      <c r="B55" t="str">
        <f ca="1"/>
        <v>Hósvík</v>
      </c>
      <c r="C55" s="3">
        <f ca="1"/>
        <v>1</v>
      </c>
      <c r="D55" s="3">
        <f ca="1"/>
        <v>1300000</v>
      </c>
      <c r="E55" s="3">
        <f ca="1"/>
        <v>9629.6296296296296</v>
      </c>
      <c r="F55" s="3">
        <f ca="1"/>
        <v>1650000</v>
      </c>
      <c r="G55" s="3">
        <f ca="1"/>
        <v>12222.222222222223</v>
      </c>
      <c r="H55" s="3">
        <f ca="1"/>
        <v>81</v>
      </c>
    </row>
    <row r="56" spans="2:8" x14ac:dyDescent="0.25">
      <c r="B56" t="str">
        <f ca="1"/>
        <v>Lamba</v>
      </c>
      <c r="C56" s="3">
        <f ca="1"/>
        <v>1</v>
      </c>
      <c r="D56" s="3">
        <f ca="1"/>
        <v>1195000</v>
      </c>
      <c r="E56" s="3">
        <f ca="1"/>
        <v>9335.9375</v>
      </c>
      <c r="F56" s="3">
        <f ca="1"/>
        <v>1200000</v>
      </c>
      <c r="G56" s="3">
        <f ca="1"/>
        <v>9375</v>
      </c>
      <c r="H56" s="3">
        <f ca="1"/>
        <v>46</v>
      </c>
    </row>
    <row r="57" spans="2:8" x14ac:dyDescent="0.25">
      <c r="B57" t="str">
        <f ca="1"/>
        <v>Ørðavík</v>
      </c>
      <c r="C57" s="3">
        <f ca="1"/>
        <v>1</v>
      </c>
      <c r="D57" s="3">
        <f ca="1"/>
        <v>2750000</v>
      </c>
      <c r="E57" s="3">
        <f ca="1"/>
        <v>8928.5714285714294</v>
      </c>
      <c r="F57" s="3">
        <f ca="1"/>
        <v>0</v>
      </c>
      <c r="G57" s="3" t="e">
        <f ca="1"/>
        <v>#DIV/0!</v>
      </c>
      <c r="H57" s="3">
        <f ca="1"/>
        <v>158</v>
      </c>
    </row>
    <row r="58" spans="2:8" x14ac:dyDescent="0.25">
      <c r="B58" t="str">
        <f ca="1"/>
        <v>Oyrarbakki</v>
      </c>
      <c r="C58" s="3">
        <f ca="1"/>
        <v>1</v>
      </c>
      <c r="D58" s="3">
        <f ca="1"/>
        <v>2000000</v>
      </c>
      <c r="E58" s="3">
        <f ca="1"/>
        <v>8849.5575221238942</v>
      </c>
      <c r="F58" s="3">
        <f ca="1"/>
        <v>0</v>
      </c>
      <c r="G58" s="3" t="e">
        <f ca="1"/>
        <v>#DIV/0!</v>
      </c>
      <c r="H58" s="3">
        <f ca="1"/>
        <v>12</v>
      </c>
    </row>
    <row r="59" spans="2:8" x14ac:dyDescent="0.25">
      <c r="B59" t="str">
        <f ca="1"/>
        <v>Dalur</v>
      </c>
      <c r="C59" s="3">
        <f ca="1"/>
        <v>1</v>
      </c>
      <c r="D59" s="3">
        <f ca="1"/>
        <v>1500000</v>
      </c>
      <c r="E59" s="3">
        <f ca="1"/>
        <v>8241.7582417582416</v>
      </c>
      <c r="F59" s="3">
        <f ca="1"/>
        <v>1000000</v>
      </c>
      <c r="G59" s="3">
        <f ca="1"/>
        <v>5494.5054945054944</v>
      </c>
      <c r="H59" s="3">
        <f ca="1"/>
        <v>41</v>
      </c>
    </row>
    <row r="60" spans="2:8" x14ac:dyDescent="0.25">
      <c r="B60" t="str">
        <f ca="1"/>
        <v>Selatrað</v>
      </c>
      <c r="C60" s="3">
        <f ca="1"/>
        <v>1</v>
      </c>
      <c r="D60" s="3">
        <f ca="1"/>
        <v>1745000</v>
      </c>
      <c r="E60" s="3">
        <f ca="1"/>
        <v>7790.1785714285716</v>
      </c>
      <c r="F60" s="3">
        <f ca="1"/>
        <v>0</v>
      </c>
      <c r="G60" s="3" t="e">
        <f ca="1"/>
        <v>#DIV/0!</v>
      </c>
      <c r="H60" s="3">
        <f ca="1"/>
        <v>12</v>
      </c>
    </row>
    <row r="61" spans="2:8" x14ac:dyDescent="0.25">
      <c r="B61" t="str">
        <f ca="1"/>
        <v xml:space="preserve">Eiði </v>
      </c>
      <c r="C61" s="3">
        <f ca="1"/>
        <v>1</v>
      </c>
      <c r="D61" s="3">
        <f ca="1"/>
        <v>1750000</v>
      </c>
      <c r="E61" s="3">
        <f ca="1"/>
        <v>7113.8211382113823</v>
      </c>
      <c r="F61" s="3">
        <f ca="1"/>
        <v>2800000</v>
      </c>
      <c r="G61" s="3">
        <f ca="1"/>
        <v>11382.113821138211</v>
      </c>
      <c r="H61" s="3">
        <f ca="1"/>
        <v>63</v>
      </c>
    </row>
    <row r="62" spans="2:8" x14ac:dyDescent="0.25">
      <c r="B62" t="str">
        <f ca="1"/>
        <v>Tvøroyri</v>
      </c>
      <c r="C62" s="3">
        <f ca="1"/>
        <v>9</v>
      </c>
      <c r="D62" s="3">
        <f ca="1"/>
        <v>1427777.7777777778</v>
      </c>
      <c r="E62" s="3">
        <f ca="1"/>
        <v>6891.288186346048</v>
      </c>
      <c r="F62" s="3">
        <f ca="1"/>
        <v>1072222.2222222222</v>
      </c>
      <c r="G62" s="3">
        <f ca="1"/>
        <v>6402.3042483746349</v>
      </c>
      <c r="H62" s="3">
        <f ca="1"/>
        <v>68.888888888888886</v>
      </c>
    </row>
    <row r="63" spans="2:8" x14ac:dyDescent="0.25">
      <c r="B63" t="str">
        <f ca="1"/>
        <v>Svínoy</v>
      </c>
      <c r="C63" s="3">
        <f ca="1"/>
        <v>1</v>
      </c>
      <c r="D63" s="3">
        <f ca="1"/>
        <v>850000</v>
      </c>
      <c r="E63" s="3">
        <f ca="1"/>
        <v>5985.9154929577462</v>
      </c>
      <c r="F63" s="3">
        <f ca="1"/>
        <v>620000</v>
      </c>
      <c r="G63" s="3">
        <f ca="1"/>
        <v>4366.1971830985913</v>
      </c>
      <c r="H63" s="3">
        <f ca="1"/>
        <v>68</v>
      </c>
    </row>
    <row r="64" spans="2:8" x14ac:dyDescent="0.25">
      <c r="B64" t="str">
        <f ca="1"/>
        <v>Skúvoy</v>
      </c>
      <c r="C64" s="3">
        <f ca="1"/>
        <v>1</v>
      </c>
      <c r="D64" s="3">
        <f ca="1"/>
        <v>795000</v>
      </c>
      <c r="E64" s="3">
        <f ca="1"/>
        <v>5977.4436090225563</v>
      </c>
      <c r="F64" s="3">
        <f ca="1"/>
        <v>500000</v>
      </c>
      <c r="G64" s="3">
        <f ca="1"/>
        <v>3759.3984962406016</v>
      </c>
      <c r="H64" s="3">
        <f ca="1"/>
        <v>55</v>
      </c>
    </row>
    <row r="65" spans="2:8" x14ac:dyDescent="0.25">
      <c r="B65" t="str">
        <f ca="1"/>
        <v>Vágur</v>
      </c>
      <c r="C65" s="3">
        <f ca="1"/>
        <v>10</v>
      </c>
      <c r="D65" s="3">
        <f ca="1"/>
        <v>1395500</v>
      </c>
      <c r="E65" s="3">
        <f ca="1"/>
        <v>5762.6702368017022</v>
      </c>
      <c r="F65" s="3">
        <f ca="1"/>
        <v>637000</v>
      </c>
      <c r="G65" s="3">
        <f ca="1"/>
        <v>5053.4604157004605</v>
      </c>
      <c r="H65" s="3">
        <f ca="1"/>
        <v>69.099999999999994</v>
      </c>
    </row>
    <row r="66" spans="2:8" x14ac:dyDescent="0.25">
      <c r="B66" t="str">
        <f ca="1"/>
        <v>Kolbeinagjógv</v>
      </c>
      <c r="C66" s="3">
        <f ca="1"/>
        <v>1</v>
      </c>
      <c r="D66" s="3">
        <f ca="1"/>
        <v>745000</v>
      </c>
      <c r="E66" s="3">
        <f ca="1"/>
        <v>5643.939393939394</v>
      </c>
      <c r="F66" s="3">
        <f ca="1"/>
        <v>850000</v>
      </c>
      <c r="G66" s="3">
        <f ca="1"/>
        <v>6439.393939393939</v>
      </c>
      <c r="H66" s="3">
        <f ca="1"/>
        <v>24</v>
      </c>
    </row>
    <row r="67" spans="2:8" x14ac:dyDescent="0.25">
      <c r="B67" t="str">
        <f ca="1"/>
        <v>Sumba</v>
      </c>
      <c r="C67" s="3">
        <f ca="1"/>
        <v>4</v>
      </c>
      <c r="D67" s="3">
        <f ca="1"/>
        <v>606250</v>
      </c>
      <c r="E67" s="3">
        <f ca="1"/>
        <v>5464.0975551467927</v>
      </c>
      <c r="F67" s="3">
        <f ca="1"/>
        <v>248750</v>
      </c>
      <c r="G67" s="3">
        <f ca="1"/>
        <v>4200.1361470388019</v>
      </c>
      <c r="H67" s="3">
        <f ca="1"/>
        <v>200.5</v>
      </c>
    </row>
    <row r="68" spans="2:8" x14ac:dyDescent="0.25">
      <c r="B68" t="str">
        <f ca="1"/>
        <v>Fámjin</v>
      </c>
      <c r="C68" s="3">
        <f ca="1"/>
        <v>1</v>
      </c>
      <c r="D68" s="3">
        <f ca="1"/>
        <v>650000</v>
      </c>
      <c r="E68" s="3">
        <f ca="1"/>
        <v>3823.5294117647059</v>
      </c>
      <c r="F68" s="3">
        <f ca="1"/>
        <v>750000</v>
      </c>
      <c r="G68" s="3">
        <f ca="1"/>
        <v>4411.7647058823532</v>
      </c>
      <c r="H68" s="3">
        <f ca="1"/>
        <v>27</v>
      </c>
    </row>
    <row r="69" spans="2:8" x14ac:dyDescent="0.25">
      <c r="B69" t="str">
        <f ca="1"/>
        <v>Hvalba</v>
      </c>
      <c r="C69" s="3">
        <f ca="1"/>
        <v>1</v>
      </c>
      <c r="D69" s="2">
        <f ca="1"/>
        <v>0</v>
      </c>
      <c r="E69" s="2">
        <f ca="1"/>
        <v>0</v>
      </c>
      <c r="F69" s="2">
        <f ca="1"/>
        <v>0</v>
      </c>
      <c r="G69" s="2">
        <f ca="1"/>
        <v>0</v>
      </c>
      <c r="H69">
        <f ca="1"/>
        <v>0</v>
      </c>
    </row>
    <row r="70" spans="2:8" x14ac:dyDescent="0.25">
      <c r="B70" t="str">
        <f ca="1"/>
        <v>Oyri</v>
      </c>
      <c r="C70" s="3">
        <f ca="1"/>
        <v>1</v>
      </c>
      <c r="D70" s="2">
        <f ca="1"/>
        <v>0</v>
      </c>
      <c r="E70" s="2">
        <f ca="1"/>
        <v>0</v>
      </c>
      <c r="F70" s="2">
        <f ca="1"/>
        <v>0</v>
      </c>
      <c r="G70" s="2">
        <f ca="1"/>
        <v>0</v>
      </c>
      <c r="H70">
        <f ca="1"/>
        <v>0</v>
      </c>
    </row>
    <row r="71" spans="2:8" x14ac:dyDescent="0.25">
      <c r="B71" t="str">
        <f ca="1"/>
        <v>Skopun</v>
      </c>
      <c r="C71" s="3">
        <f ca="1"/>
        <v>1</v>
      </c>
      <c r="D71" s="2">
        <f ca="1"/>
        <v>0</v>
      </c>
      <c r="E71" s="2">
        <f ca="1"/>
        <v>0</v>
      </c>
      <c r="F71" s="2">
        <f ca="1"/>
        <v>0</v>
      </c>
      <c r="G71" s="2">
        <f ca="1"/>
        <v>0</v>
      </c>
      <c r="H71">
        <f ca="1"/>
        <v>0</v>
      </c>
    </row>
    <row r="72" spans="2:8" x14ac:dyDescent="0.25">
      <c r="B72" t="str">
        <f ca="1"/>
        <v>Elduvík</v>
      </c>
      <c r="C72" s="3">
        <f ca="1"/>
        <v>1</v>
      </c>
      <c r="D72" s="2">
        <f ca="1"/>
        <v>0</v>
      </c>
      <c r="E72" s="2">
        <f ca="1"/>
        <v>0</v>
      </c>
      <c r="F72" s="2">
        <f ca="1"/>
        <v>0</v>
      </c>
      <c r="G72" s="2">
        <f ca="1"/>
        <v>0</v>
      </c>
      <c r="H72">
        <f ca="1"/>
        <v>0</v>
      </c>
    </row>
    <row r="73" spans="2:8" x14ac:dyDescent="0.25">
      <c r="B73" t="str">
        <f ca="1"/>
        <v>Norðoyri</v>
      </c>
      <c r="C73" s="3">
        <f ca="1"/>
        <v>1</v>
      </c>
      <c r="D73" s="2">
        <f ca="1"/>
        <v>0</v>
      </c>
      <c r="E73" s="2">
        <f ca="1"/>
        <v>0</v>
      </c>
      <c r="F73" s="2">
        <f ca="1"/>
        <v>0</v>
      </c>
      <c r="G73" s="2">
        <f ca="1"/>
        <v>0</v>
      </c>
      <c r="H73">
        <f ca="1"/>
        <v>0</v>
      </c>
    </row>
    <row r="74" spans="2:8" x14ac:dyDescent="0.25">
      <c r="B74" t="str">
        <f ca="1"/>
        <v>Ánirnar</v>
      </c>
      <c r="C74" s="3">
        <f ca="1"/>
        <v>1</v>
      </c>
      <c r="D74" s="2">
        <f ca="1"/>
        <v>0</v>
      </c>
      <c r="E74" s="2">
        <f ca="1"/>
        <v>0</v>
      </c>
      <c r="F74" s="2">
        <f ca="1"/>
        <v>0</v>
      </c>
      <c r="G74" s="2">
        <f ca="1"/>
        <v>0</v>
      </c>
      <c r="H74">
        <f ca="1"/>
        <v>0</v>
      </c>
    </row>
    <row r="75" spans="2:8" x14ac:dyDescent="0.25">
      <c r="B75" t="str">
        <f ca="1"/>
        <v>Húsavík</v>
      </c>
      <c r="C75" s="3">
        <f ca="1"/>
        <v>1</v>
      </c>
      <c r="D75" s="2">
        <f ca="1"/>
        <v>0</v>
      </c>
      <c r="E75" s="2">
        <f ca="1"/>
        <v>0</v>
      </c>
      <c r="F75" s="2">
        <f ca="1"/>
        <v>0</v>
      </c>
      <c r="G75" s="2">
        <f ca="1"/>
        <v>0</v>
      </c>
      <c r="H75">
        <f ca="1"/>
        <v>0</v>
      </c>
    </row>
    <row r="76" spans="2:8" x14ac:dyDescent="0.25">
      <c r="B76" t="str">
        <f ca="1"/>
        <v>Porkeri</v>
      </c>
      <c r="C76" s="3">
        <f ca="1"/>
        <v>1</v>
      </c>
      <c r="D76" s="2">
        <f ca="1"/>
        <v>0</v>
      </c>
      <c r="E76" s="2">
        <f ca="1"/>
        <v>0</v>
      </c>
      <c r="F76" s="2">
        <f ca="1"/>
        <v>0</v>
      </c>
      <c r="G76" s="2">
        <f ca="1"/>
        <v>0</v>
      </c>
      <c r="H76">
        <f ca="1"/>
        <v>0</v>
      </c>
    </row>
    <row r="77" spans="2:8" x14ac:dyDescent="0.25">
      <c r="B77" t="str">
        <f ca="1"/>
        <v>Oyrareingir</v>
      </c>
      <c r="C77" s="3">
        <f ca="1"/>
        <v>1</v>
      </c>
      <c r="D77" s="2">
        <f ca="1"/>
        <v>0</v>
      </c>
      <c r="E77" s="2">
        <f ca="1"/>
        <v>0</v>
      </c>
      <c r="F77" s="2">
        <f ca="1"/>
        <v>0</v>
      </c>
      <c r="G77" s="2">
        <f ca="1"/>
        <v>0</v>
      </c>
      <c r="H77">
        <f ca="1"/>
        <v>0</v>
      </c>
    </row>
    <row r="78" spans="2:8" x14ac:dyDescent="0.25">
      <c r="B78" t="str">
        <f ca="1"/>
        <v>Árnafjørður</v>
      </c>
      <c r="C78" s="3">
        <f ca="1"/>
        <v>1</v>
      </c>
      <c r="D78" s="2">
        <f ca="1"/>
        <v>0</v>
      </c>
      <c r="E78" s="2">
        <f ca="1"/>
        <v>0</v>
      </c>
      <c r="F78" s="2">
        <f ca="1"/>
        <v>0</v>
      </c>
      <c r="G78" s="2">
        <f ca="1"/>
        <v>0</v>
      </c>
      <c r="H78">
        <f ca="1"/>
        <v>0</v>
      </c>
    </row>
    <row r="79" spans="2:8" x14ac:dyDescent="0.25">
      <c r="B79" t="str">
        <f ca="1"/>
        <v>Gjógv</v>
      </c>
      <c r="C79" s="3">
        <f ca="1"/>
        <v>1</v>
      </c>
      <c r="D79" s="2">
        <f ca="1"/>
        <v>0</v>
      </c>
      <c r="E79" s="2">
        <f ca="1"/>
        <v>0</v>
      </c>
      <c r="F79" s="2">
        <f ca="1"/>
        <v>0</v>
      </c>
      <c r="G79" s="2">
        <f ca="1"/>
        <v>0</v>
      </c>
      <c r="H79">
        <f ca="1"/>
        <v>0</v>
      </c>
    </row>
    <row r="80" spans="2:8" x14ac:dyDescent="0.25">
      <c r="B80" t="str">
        <f ca="1"/>
        <v>Streymnes</v>
      </c>
      <c r="C80" s="3">
        <f ca="1"/>
        <v>1</v>
      </c>
      <c r="D80" s="2">
        <f ca="1"/>
        <v>0</v>
      </c>
      <c r="E80" s="2">
        <f ca="1"/>
        <v>0</v>
      </c>
      <c r="F80" s="2">
        <f ca="1"/>
        <v>0</v>
      </c>
      <c r="G80" s="2">
        <f ca="1"/>
        <v>0</v>
      </c>
      <c r="H80">
        <f ca="1"/>
        <v>0</v>
      </c>
    </row>
    <row r="81" spans="2:8" x14ac:dyDescent="0.25">
      <c r="B81" t="str">
        <f ca="1"/>
        <v>Sund</v>
      </c>
      <c r="C81" s="3">
        <f ca="1"/>
        <v>1</v>
      </c>
      <c r="D81" s="2">
        <f ca="1"/>
        <v>0</v>
      </c>
      <c r="E81" s="2">
        <f ca="1"/>
        <v>0</v>
      </c>
      <c r="F81" s="2">
        <f ca="1"/>
        <v>0</v>
      </c>
      <c r="G81" s="2">
        <f ca="1"/>
        <v>0</v>
      </c>
      <c r="H81">
        <f ca="1"/>
        <v>0</v>
      </c>
    </row>
    <row r="82" spans="2:8" x14ac:dyDescent="0.25">
      <c r="B82" t="str">
        <f ca="1"/>
        <v>Haraldssund</v>
      </c>
      <c r="C82" s="3">
        <f ca="1"/>
        <v>1</v>
      </c>
      <c r="D82" s="2">
        <f ca="1"/>
        <v>0</v>
      </c>
      <c r="E82" s="2">
        <f ca="1"/>
        <v>0</v>
      </c>
      <c r="F82" s="2">
        <f ca="1"/>
        <v>0</v>
      </c>
      <c r="G82" s="2">
        <f ca="1"/>
        <v>0</v>
      </c>
      <c r="H82">
        <f ca="1"/>
        <v>0</v>
      </c>
    </row>
    <row r="83" spans="2:8" x14ac:dyDescent="0.25">
      <c r="D83" s="2"/>
      <c r="E83" s="2"/>
      <c r="F83" s="2"/>
      <c r="G8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53F70D-2DB8-44CF-8874-3CE6576B3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 Falkvard Joensen</dc:creator>
  <cp:lastModifiedBy>Marni Falkvard Joensen</cp:lastModifiedBy>
  <dcterms:created xsi:type="dcterms:W3CDTF">2015-06-05T18:17:20Z</dcterms:created>
  <dcterms:modified xsi:type="dcterms:W3CDTF">2026-04-07T22:04:40Z</dcterms:modified>
</cp:coreProperties>
</file>